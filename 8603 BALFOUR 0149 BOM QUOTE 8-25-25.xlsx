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ACI-SERV2\ACI Job Files\GERBER 8000-8999\8603 Balfour 0149\"/>
    </mc:Choice>
  </mc:AlternateContent>
  <xr:revisionPtr revIDLastSave="0" documentId="13_ncr:1_{8A008434-4380-4EBC-A831-B5200C8050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" sheetId="1" r:id="rId1"/>
    <sheet name="Tariff" sheetId="7" r:id="rId2"/>
    <sheet name="Chemicals Qty" sheetId="4" r:id="rId3"/>
    <sheet name="Chemicals pricing" sheetId="3" r:id="rId4"/>
    <sheet name="Fine Pitch, QFP, QFN, or BGA  " sheetId="5" r:id="rId5"/>
    <sheet name="Rev Rec" sheetId="6" r:id="rId6"/>
  </sheets>
  <externalReferences>
    <externalReference r:id="rId7"/>
  </externalReferences>
  <definedNames>
    <definedName name="_xlnm._FilterDatabase" localSheetId="0" hidden="1">BOM!$A$23:$N$23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" i="1" l="1"/>
  <c r="M30" i="1"/>
  <c r="K30" i="1"/>
  <c r="L30" i="1" s="1"/>
  <c r="H30" i="1"/>
  <c r="M25" i="1"/>
  <c r="M26" i="1"/>
  <c r="M27" i="1"/>
  <c r="M28" i="1"/>
  <c r="M29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24" i="1"/>
  <c r="K25" i="1"/>
  <c r="K26" i="1"/>
  <c r="K27" i="1"/>
  <c r="K28" i="1"/>
  <c r="K29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24" i="1"/>
  <c r="J22" i="1"/>
  <c r="I22" i="1"/>
  <c r="K4" i="3"/>
  <c r="M4" i="3"/>
  <c r="N4" i="3" s="1"/>
  <c r="O4" i="3" s="1"/>
  <c r="P4" i="3" s="1"/>
  <c r="N28" i="4" l="1"/>
  <c r="O28" i="4" s="1"/>
  <c r="O23" i="4"/>
  <c r="P23" i="4" s="1"/>
  <c r="M17" i="4" l="1"/>
  <c r="Q17" i="4" s="1"/>
  <c r="R17" i="4" s="1"/>
  <c r="M11" i="4"/>
  <c r="Q11" i="4" s="1"/>
  <c r="R11" i="4" s="1"/>
  <c r="P5" i="4"/>
  <c r="Q5" i="4" s="1"/>
  <c r="S25" i="1"/>
  <c r="S26" i="1"/>
  <c r="S27" i="1"/>
  <c r="S28" i="1"/>
  <c r="S29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24" i="1"/>
  <c r="L26" i="1"/>
  <c r="L33" i="1"/>
  <c r="L34" i="1"/>
  <c r="L35" i="1"/>
  <c r="L41" i="1"/>
  <c r="L42" i="1"/>
  <c r="L43" i="1"/>
  <c r="L48" i="1"/>
  <c r="L49" i="1"/>
  <c r="L50" i="1"/>
  <c r="L51" i="1"/>
  <c r="L56" i="1"/>
  <c r="D14" i="1"/>
  <c r="D13" i="1"/>
  <c r="D12" i="1"/>
  <c r="D11" i="1"/>
  <c r="D10" i="1"/>
  <c r="C14" i="1"/>
  <c r="C13" i="1"/>
  <c r="C12" i="1"/>
  <c r="C11" i="1"/>
  <c r="C10" i="1"/>
  <c r="H25" i="1"/>
  <c r="H26" i="1"/>
  <c r="H27" i="1"/>
  <c r="H28" i="1"/>
  <c r="H29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24" i="1"/>
  <c r="M22" i="1"/>
  <c r="L28" i="1"/>
  <c r="L29" i="1"/>
  <c r="L31" i="1"/>
  <c r="L32" i="1"/>
  <c r="L36" i="1"/>
  <c r="L37" i="1"/>
  <c r="L38" i="1"/>
  <c r="L39" i="1"/>
  <c r="L40" i="1"/>
  <c r="K60" i="1"/>
  <c r="K20" i="1" s="1"/>
  <c r="L27" i="1"/>
  <c r="I60" i="1"/>
  <c r="J20" i="1" s="1"/>
  <c r="I59" i="1"/>
  <c r="J19" i="1" s="1"/>
  <c r="L24" i="1"/>
  <c r="K22" i="1"/>
  <c r="L22" i="1"/>
  <c r="L44" i="1"/>
  <c r="L45" i="1"/>
  <c r="L46" i="1"/>
  <c r="L47" i="1"/>
  <c r="L52" i="1"/>
  <c r="L53" i="1"/>
  <c r="L54" i="1"/>
  <c r="L55" i="1"/>
  <c r="B4" i="1" l="1"/>
  <c r="K59" i="1"/>
  <c r="K19" i="1" s="1"/>
  <c r="L25" i="1"/>
  <c r="L59" i="1" s="1"/>
  <c r="L60" i="1" s="1"/>
  <c r="L20" i="1" s="1"/>
  <c r="O7" i="1"/>
  <c r="M63" i="1"/>
  <c r="M59" i="1" l="1"/>
  <c r="M60" i="1" s="1"/>
  <c r="L19" i="1"/>
  <c r="M19" i="1" l="1"/>
  <c r="M20" i="1" s="1"/>
</calcChain>
</file>

<file path=xl/sharedStrings.xml><?xml version="1.0" encoding="utf-8"?>
<sst xmlns="http://schemas.openxmlformats.org/spreadsheetml/2006/main" count="769" uniqueCount="361">
  <si>
    <t>Item#</t>
  </si>
  <si>
    <t>Description</t>
  </si>
  <si>
    <t>Mfg</t>
  </si>
  <si>
    <t>Mfg P/N</t>
  </si>
  <si>
    <t>Loc</t>
  </si>
  <si>
    <t>Qty</t>
  </si>
  <si>
    <t>Price</t>
  </si>
  <si>
    <t>Total</t>
  </si>
  <si>
    <t>Notes</t>
  </si>
  <si>
    <t>Adj. Total</t>
  </si>
  <si>
    <t>Longest Lead Time:</t>
  </si>
  <si>
    <t>QQTY</t>
  </si>
  <si>
    <t xml:space="preserve">Total Components: </t>
  </si>
  <si>
    <t>Multiplier ^</t>
  </si>
  <si>
    <t>SMT/TH</t>
  </si>
  <si>
    <t xml:space="preserve">SMT: </t>
  </si>
  <si>
    <t>Referral by:</t>
  </si>
  <si>
    <t xml:space="preserve">Hand Assy: </t>
  </si>
  <si>
    <t>Attr. Cost</t>
  </si>
  <si>
    <t>Total w/ atr</t>
  </si>
  <si>
    <t>Total attrition cost for run:</t>
  </si>
  <si>
    <t>weeks to ship</t>
  </si>
  <si>
    <t>Components</t>
  </si>
  <si>
    <t>TOTAL</t>
  </si>
  <si>
    <t>Lines</t>
  </si>
  <si>
    <t xml:space="preserve">Through Hole: </t>
  </si>
  <si>
    <t>notes:</t>
  </si>
  <si>
    <t>CHECK FOR BLANK PRICING</t>
  </si>
  <si>
    <t>lines missing prices!</t>
  </si>
  <si>
    <t>Oz</t>
  </si>
  <si>
    <t>Cubic inches</t>
  </si>
  <si>
    <t>Total Area</t>
  </si>
  <si>
    <t>Both sides of Board</t>
  </si>
  <si>
    <t>Viscosity &amp; Wastage factor</t>
  </si>
  <si>
    <t>Thickness of coating</t>
  </si>
  <si>
    <t>Width of board
in inches</t>
  </si>
  <si>
    <t>Length of board
in inches</t>
  </si>
  <si>
    <t>Conformal Coating Volume Calculations</t>
  </si>
  <si>
    <t>Locations</t>
  </si>
  <si>
    <t>Number of locations</t>
  </si>
  <si>
    <t>Inch</t>
  </si>
  <si>
    <t>Epoxy Volume Calculations</t>
  </si>
  <si>
    <t>RTV Silicone Volume Calculations</t>
  </si>
  <si>
    <t>Perimeter</t>
  </si>
  <si>
    <t>Default HEIGHT</t>
  </si>
  <si>
    <t>(By default, x 3mm=0.11")</t>
  </si>
  <si>
    <t>Length of part</t>
  </si>
  <si>
    <t>Width of part</t>
  </si>
  <si>
    <t>(By default,
 x 1.2)</t>
  </si>
  <si>
    <t>(By default x2)</t>
  </si>
  <si>
    <t>(By default, x 2.54mm=0.1")</t>
  </si>
  <si>
    <t>HEAT SINK GREASE Volume Calculations</t>
  </si>
  <si>
    <t>(By default, x 0.1")</t>
  </si>
  <si>
    <t>Potting compound Volume Calculations</t>
  </si>
  <si>
    <t>Area of Cap
in inches sq.</t>
  </si>
  <si>
    <t>Depth of Cap in inches</t>
  </si>
  <si>
    <t>Setup &amp; Wastage factor
(By default x 1.2)</t>
  </si>
  <si>
    <t>Total Area
Cubic inches</t>
  </si>
  <si>
    <t>Total Area
Oz</t>
  </si>
  <si>
    <t xml:space="preserve">Fine Pitch, QFP, QFN, or BGA: </t>
  </si>
  <si>
    <t>Conformal Coating 
part number</t>
  </si>
  <si>
    <t>Change Date</t>
  </si>
  <si>
    <t>Changed By</t>
  </si>
  <si>
    <t>Changes</t>
  </si>
  <si>
    <t>Line/Item Affected</t>
  </si>
  <si>
    <t>REVISION RECORD for BOM Quote Template</t>
  </si>
  <si>
    <t xml:space="preserve">Fine Pitch, QFP, QFN, or BGA  </t>
  </si>
  <si>
    <t>Chemicals pricing</t>
  </si>
  <si>
    <t>Added for better understanding and to show others how pricing was calculated</t>
  </si>
  <si>
    <t>Rev</t>
  </si>
  <si>
    <t>A</t>
  </si>
  <si>
    <t>B</t>
  </si>
  <si>
    <t>Abhishek Patel</t>
  </si>
  <si>
    <t>Added for better understanding and clearing concepts</t>
  </si>
  <si>
    <t>(By default 20%, x 0.2 )</t>
  </si>
  <si>
    <t>1A33</t>
  </si>
  <si>
    <t>https://www.ellsworth.com/products/by-manufacturer/humiseal/conformal-coatings/polyurethane/humiseal-1a33-polyurethane-conformal-coating-clear-263-g-aerosol/</t>
  </si>
  <si>
    <t>Qty per can 
263g = 9.27705 Oz</t>
  </si>
  <si>
    <t>Price per can</t>
  </si>
  <si>
    <t>Oz per board</t>
  </si>
  <si>
    <t>Number of boards</t>
  </si>
  <si>
    <t>Total number of oz</t>
  </si>
  <si>
    <t>Total number of cans</t>
  </si>
  <si>
    <t>Total price</t>
  </si>
  <si>
    <t>Price per board</t>
  </si>
  <si>
    <t>Lookup this website every time for latest pricing</t>
  </si>
  <si>
    <t>Conformal Coating Pricing Calculations</t>
  </si>
  <si>
    <t>Tariff</t>
  </si>
  <si>
    <t>Added Tariff Column</t>
  </si>
  <si>
    <t>Adam Jeraci</t>
  </si>
  <si>
    <t>C</t>
  </si>
  <si>
    <t>Added Tariff Tab</t>
  </si>
  <si>
    <t>Added column for Tariffs and added formula to add tariff to price.</t>
  </si>
  <si>
    <t>Added tab to cut/paste Mouser output for tariffs &amp; renamed sheet 1 to BOM.</t>
  </si>
  <si>
    <t>D</t>
  </si>
  <si>
    <t>Cathy Arnold</t>
  </si>
  <si>
    <r>
      <t xml:space="preserve">UL1429 WIRE 24AWG 7 STRAND
ANY COLOR OK TO USE
PC BOARD,DC OVERCURRENT RELAY,OUTPUT MODULE
</t>
    </r>
    <r>
      <rPr>
        <b/>
        <u/>
        <sz val="11"/>
        <color theme="1"/>
        <rFont val="Arial"/>
        <family val="2"/>
      </rPr>
      <t>(INSTALL JUMPER BETWEEN THE HOLE ABOVE L1 AND THE HOLE BETWEEN PADS P3 AND P4, 2.25" LENGTH 1/4" STRIP BOTH SIDES, WIRE LIST 24 KOMAX, LEAVE ROOM FOR RELIEF AS SEEN IN PICTURE</t>
    </r>
    <r>
      <rPr>
        <sz val="11"/>
        <color theme="1"/>
        <rFont val="Arial"/>
        <family val="2"/>
      </rPr>
      <t>)</t>
    </r>
  </si>
  <si>
    <t>ANIXTER</t>
  </si>
  <si>
    <t>1429-24/7-0</t>
  </si>
  <si>
    <t>ZSUB FOR ABOVE</t>
  </si>
  <si>
    <t>1429-22/7-0</t>
  </si>
  <si>
    <t>CORNELL DUBILIER</t>
  </si>
  <si>
    <t>DSF050J104</t>
  </si>
  <si>
    <t>185104J63RAA-F</t>
  </si>
  <si>
    <t>PANASONIC</t>
  </si>
  <si>
    <t>ECQ-B1H102JF</t>
  </si>
  <si>
    <t>NICHICON</t>
  </si>
  <si>
    <t>QYX1H102JTP</t>
  </si>
  <si>
    <t>ECQ-E2474KF</t>
  </si>
  <si>
    <t>YAGEO</t>
  </si>
  <si>
    <t>MFR-25FBF52-1K</t>
  </si>
  <si>
    <t>MFR-25FBF52-1M</t>
  </si>
  <si>
    <t>VISHAY</t>
  </si>
  <si>
    <t>1N4007-E3/73</t>
  </si>
  <si>
    <t>DIODE GEN PURP 75V 150MA DO35</t>
  </si>
  <si>
    <t>MCC</t>
  </si>
  <si>
    <t>1N4148-TP</t>
  </si>
  <si>
    <t>DIODE ZENER 10V 500MW DO35</t>
  </si>
  <si>
    <t>ONSEMI</t>
  </si>
  <si>
    <t>1N5240B</t>
  </si>
  <si>
    <t>RES 2K OHM 1% 1/4W AXIAL</t>
  </si>
  <si>
    <t>MFR-25FBF52-2K</t>
  </si>
  <si>
    <t>MULTICOMP PRO</t>
  </si>
  <si>
    <t>2N4401</t>
  </si>
  <si>
    <t>LITTELFUSE</t>
  </si>
  <si>
    <t>2N6403G</t>
  </si>
  <si>
    <t>ST MICRO</t>
  </si>
  <si>
    <t>STQ1NK60ZR-AP</t>
  </si>
  <si>
    <t>RES 3.16K OHM 1% 1/4W AXIAL</t>
  </si>
  <si>
    <t>MFR-25FBF52-3K16</t>
  </si>
  <si>
    <t>4N32</t>
  </si>
  <si>
    <t>ROSENBERGER</t>
  </si>
  <si>
    <t>88K203-302L5</t>
  </si>
  <si>
    <r>
      <t xml:space="preserve">RES 10 OHM 5% 3W AXIAL </t>
    </r>
    <r>
      <rPr>
        <b/>
        <u/>
        <sz val="11"/>
        <color theme="1"/>
        <rFont val="Arial"/>
        <family val="2"/>
      </rPr>
      <t>(RAISE 1/8 INCH</t>
    </r>
    <r>
      <rPr>
        <sz val="11"/>
        <color theme="1"/>
        <rFont val="Arial"/>
        <family val="2"/>
      </rPr>
      <t>)</t>
    </r>
  </si>
  <si>
    <t>ERG-3SJ100</t>
  </si>
  <si>
    <t>RES 10M OHM 5% 1/8W AXIAL</t>
  </si>
  <si>
    <t>STACKPOLE</t>
  </si>
  <si>
    <t>CF18JT10M0</t>
  </si>
  <si>
    <t>RES 100K OHM 1% 1/4W AXIAL</t>
  </si>
  <si>
    <t>MFR-25FBF52-100K</t>
  </si>
  <si>
    <t>COILCRAFT</t>
  </si>
  <si>
    <t>DC1012-104L</t>
  </si>
  <si>
    <t>TEXAS INSTRUMENTS</t>
  </si>
  <si>
    <t>CD14538BE</t>
  </si>
  <si>
    <t>CD4538BCN</t>
  </si>
  <si>
    <t>MPSA42</t>
  </si>
  <si>
    <t>ST1-DC12V-F</t>
  </si>
  <si>
    <t>V130LA10AP</t>
  </si>
  <si>
    <t>SAMTEC</t>
  </si>
  <si>
    <t>TSW-123-08-F-S-RA</t>
  </si>
  <si>
    <t>1N5231B</t>
  </si>
  <si>
    <r>
      <t xml:space="preserve">LABEL </t>
    </r>
    <r>
      <rPr>
        <b/>
        <u/>
        <sz val="11"/>
        <color theme="1"/>
        <rFont val="Arial"/>
        <family val="2"/>
      </rPr>
      <t>(PUT LABEL ON SIDE OF MODULE ENCLOSURE AWAY FROM FACEPLATE</t>
    </r>
    <r>
      <rPr>
        <sz val="11"/>
        <color theme="1"/>
        <rFont val="Arial"/>
        <family val="2"/>
      </rPr>
      <t xml:space="preserve">)
</t>
    </r>
    <r>
      <rPr>
        <b/>
        <u/>
        <sz val="11"/>
        <color theme="1"/>
        <rFont val="Arial"/>
        <family val="2"/>
      </rPr>
      <t>{SEE LABEL LOCATION BELOW</t>
    </r>
    <r>
      <rPr>
        <sz val="11"/>
        <color theme="1"/>
        <rFont val="Arial"/>
        <family val="2"/>
      </rPr>
      <t>}</t>
    </r>
  </si>
  <si>
    <t>PANDUIT</t>
  </si>
  <si>
    <t>C050X044YJT</t>
  </si>
  <si>
    <t>DO NOT INSTALL DNI</t>
  </si>
  <si>
    <t>DNP</t>
  </si>
  <si>
    <t>DNP140</t>
  </si>
  <si>
    <t>SEE PICTURE BELOW</t>
  </si>
  <si>
    <t>C1,C2,C3,C4,C5</t>
  </si>
  <si>
    <t>C6</t>
  </si>
  <si>
    <t>C7</t>
  </si>
  <si>
    <t>R9, R11</t>
  </si>
  <si>
    <t>R6</t>
  </si>
  <si>
    <t>D6, D7</t>
  </si>
  <si>
    <t>D4, D10, D11</t>
  </si>
  <si>
    <t>ZD3</t>
  </si>
  <si>
    <t>R5</t>
  </si>
  <si>
    <t>Q2</t>
  </si>
  <si>
    <t>D12</t>
  </si>
  <si>
    <t>Q5</t>
  </si>
  <si>
    <t>R8</t>
  </si>
  <si>
    <t>U2</t>
  </si>
  <si>
    <t>R12</t>
  </si>
  <si>
    <t>R2, R7</t>
  </si>
  <si>
    <t>R3, R10</t>
  </si>
  <si>
    <t>L1</t>
  </si>
  <si>
    <t>U1</t>
  </si>
  <si>
    <t>Q3, Q4</t>
  </si>
  <si>
    <t>RLY1</t>
  </si>
  <si>
    <t>M1</t>
  </si>
  <si>
    <t>DNI</t>
  </si>
  <si>
    <t>ZD1</t>
  </si>
  <si>
    <t>PCBA</t>
  </si>
  <si>
    <t>D1, D2, D3, D5, D8, D9, R4, R1, ZD2, Q1,
RLY2, RLY3, RLY4</t>
  </si>
  <si>
    <t>TH</t>
  </si>
  <si>
    <t>CAP FILM 0.1UF 5% 50VDC RADIAL TH</t>
  </si>
  <si>
    <t>CAP FILM 1000PF 5% 50VDC RADIAL TH</t>
  </si>
  <si>
    <t>CAP FILM 0.47UF 10% 250VDC RAD TH</t>
  </si>
  <si>
    <t>RES 1K OHM 1% 1/4W AXIAL TH</t>
  </si>
  <si>
    <t>RES 1M OHM 1% 1/4W AXIAL TH</t>
  </si>
  <si>
    <t>DIODE GEN PURP 1KV 1A DO204AL TH PURPLE WIRE</t>
  </si>
  <si>
    <t xml:space="preserve">
BJT NPN, 40 V, 600 MA, 625 MW, TO-92, TH</t>
  </si>
  <si>
    <t>SCR 400V 16A TO220AB TH</t>
  </si>
  <si>
    <t>SEMICONDUCTOR,MOSFET,N-CHANNEL,600 VOLT,0.2A TH</t>
  </si>
  <si>
    <t>OPTOISO 5.3KV DARL W/BASE 6DIP TH</t>
  </si>
  <si>
    <t>INDUCTOR 0.1MH 1.2A TH</t>
  </si>
  <si>
    <t>IC MULTIVIBRATOR 100NS 16DIP TH</t>
  </si>
  <si>
    <t>BJT NPN, 300 V, 500 MA, 625 MW, TO-92,  TH</t>
  </si>
  <si>
    <t>RELAY GEN PURPOSE DPST 8A 12V TH {FOR WAVE SOLDERING, MAX TEMP. 260±5°C FOR 6 SECONDS, 
FOR HAND SOLDERING MAX TEMP. 
350°C FOR 3 SECONDS, WASHABLE}</t>
  </si>
  <si>
    <t>VARISTOR 205V 4.5KA DISC 14MM TH
(BEND OVER SEE PICTURE)</t>
  </si>
  <si>
    <t>HEADER,RIGHT ANGLE,ULTRA LOW PROFILE,.100 C.L. MAX POST HT.  TH
(SEE PICTURE, BREAK AND USE)</t>
  </si>
  <si>
    <t>DIODE ZENER 5.1V 500MW DO35 TH</t>
  </si>
  <si>
    <t>HAND</t>
  </si>
  <si>
    <t>$0.602</t>
  </si>
  <si>
    <t>$0.414</t>
  </si>
  <si>
    <t>$0.026</t>
  </si>
  <si>
    <t>$0.029</t>
  </si>
  <si>
    <t>$0.083</t>
  </si>
  <si>
    <t>$0.138</t>
  </si>
  <si>
    <t>$0.05</t>
  </si>
  <si>
    <t>$0.103</t>
  </si>
  <si>
    <t>$1.52</t>
  </si>
  <si>
    <t>$0.335</t>
  </si>
  <si>
    <t>$0.012</t>
  </si>
  <si>
    <t>$1.55</t>
  </si>
  <si>
    <t>$1.12</t>
  </si>
  <si>
    <t>$0.136</t>
  </si>
  <si>
    <t>$8.23</t>
  </si>
  <si>
    <t>$0.312</t>
  </si>
  <si>
    <t>$0.042</t>
  </si>
  <si>
    <t>Package Type</t>
  </si>
  <si>
    <t/>
  </si>
  <si>
    <t>BULK</t>
  </si>
  <si>
    <t>AMMO PACK</t>
  </si>
  <si>
    <t>REEL</t>
  </si>
  <si>
    <t>TRAY</t>
  </si>
  <si>
    <t>TUBE</t>
  </si>
  <si>
    <t>$0.12</t>
  </si>
  <si>
    <t>$0.041</t>
  </si>
  <si>
    <t>$0.005</t>
  </si>
  <si>
    <t>$0.006</t>
  </si>
  <si>
    <t>$0.025</t>
  </si>
  <si>
    <t>$0.015</t>
  </si>
  <si>
    <t>$0.031</t>
  </si>
  <si>
    <t>$0.152</t>
  </si>
  <si>
    <t>$0.101</t>
  </si>
  <si>
    <t>$0.002</t>
  </si>
  <si>
    <t>$0.31</t>
  </si>
  <si>
    <t>$0.112</t>
  </si>
  <si>
    <t>$0.013</t>
  </si>
  <si>
    <t>Availability</t>
  </si>
  <si>
    <t>Product Image</t>
  </si>
  <si>
    <t>Mfr Part Number</t>
  </si>
  <si>
    <t>Mouser Part Number</t>
  </si>
  <si>
    <t>Manufacturer Name</t>
  </si>
  <si>
    <t>Order Quantity</t>
  </si>
  <si>
    <t>Order Price</t>
  </si>
  <si>
    <t>Min\Mult Order Qty</t>
  </si>
  <si>
    <t>Estimated Tariff Price</t>
  </si>
  <si>
    <t>Estimated Tariff Ext.</t>
  </si>
  <si>
    <t>A6X30142924</t>
  </si>
  <si>
    <t>982-A6X30142924</t>
  </si>
  <si>
    <t>Siemens</t>
  </si>
  <si>
    <t>50</t>
  </si>
  <si>
    <t>$51.65</t>
  </si>
  <si>
    <t>1\1</t>
  </si>
  <si>
    <t>11W15A-508</t>
  </si>
  <si>
    <t>476-11W15A-508</t>
  </si>
  <si>
    <t>Rosenberger</t>
  </si>
  <si>
    <t>3\3</t>
  </si>
  <si>
    <t>598-DSF050J</t>
  </si>
  <si>
    <t>Cornell Dubilier / Knowles</t>
  </si>
  <si>
    <t>250</t>
  </si>
  <si>
    <t>4,321</t>
  </si>
  <si>
    <t>598-185104J63RAA-F</t>
  </si>
  <si>
    <t>$30.00</t>
  </si>
  <si>
    <t>667-ECQ-B1H102JF</t>
  </si>
  <si>
    <t>Panasonic</t>
  </si>
  <si>
    <t>647-QYX1H102JTP</t>
  </si>
  <si>
    <t>Nichicon</t>
  </si>
  <si>
    <t>11</t>
  </si>
  <si>
    <t>667-ECQ-E2474KF</t>
  </si>
  <si>
    <t>$2.05</t>
  </si>
  <si>
    <t>56,717</t>
  </si>
  <si>
    <t>603-MFR-25FBF52-1K</t>
  </si>
  <si>
    <t>100</t>
  </si>
  <si>
    <t>$0.50</t>
  </si>
  <si>
    <t>3,438</t>
  </si>
  <si>
    <t>603-MFR-25FBF52-1M</t>
  </si>
  <si>
    <t>$0.30</t>
  </si>
  <si>
    <t>241</t>
  </si>
  <si>
    <t>625-1N4007-E3/73</t>
  </si>
  <si>
    <t>Vishay</t>
  </si>
  <si>
    <t>$2.50</t>
  </si>
  <si>
    <t>7,889</t>
  </si>
  <si>
    <t>833-1N4148-TP</t>
  </si>
  <si>
    <t>Micro Commercial Components (MCC)</t>
  </si>
  <si>
    <t>150</t>
  </si>
  <si>
    <t>$6.15</t>
  </si>
  <si>
    <t>3,912</t>
  </si>
  <si>
    <t>512-1N5240B</t>
  </si>
  <si>
    <t>onsemi</t>
  </si>
  <si>
    <t>$0.75</t>
  </si>
  <si>
    <t>5,375</t>
  </si>
  <si>
    <t>603-MFR-25FBF52-2K</t>
  </si>
  <si>
    <t>2,848</t>
  </si>
  <si>
    <t>637-2N4401</t>
  </si>
  <si>
    <t>Diotec Semiconductor</t>
  </si>
  <si>
    <t>860</t>
  </si>
  <si>
    <t>863-2N6403G</t>
  </si>
  <si>
    <t>Littelfuse</t>
  </si>
  <si>
    <t>$7.60</t>
  </si>
  <si>
    <t>3,325</t>
  </si>
  <si>
    <t>511-STQ1NK60ZR-AP</t>
  </si>
  <si>
    <t>STMicroelectronics</t>
  </si>
  <si>
    <t>$5.05</t>
  </si>
  <si>
    <t>18,801</t>
  </si>
  <si>
    <t>603-MFR-25FBF52-3K16</t>
  </si>
  <si>
    <t>512-4N32</t>
  </si>
  <si>
    <t>476-88K203-302L5</t>
  </si>
  <si>
    <t>667-ERG-3SJ100</t>
  </si>
  <si>
    <t>13,530</t>
  </si>
  <si>
    <t>708-CF18JT10M0</t>
  </si>
  <si>
    <t>SEI Stackpole</t>
  </si>
  <si>
    <t>$0.20</t>
  </si>
  <si>
    <t>31,396</t>
  </si>
  <si>
    <t>603-MFR-25FBF52-100K</t>
  </si>
  <si>
    <t>1</t>
  </si>
  <si>
    <t>994-DC1012-104L</t>
  </si>
  <si>
    <t>Coilcraft</t>
  </si>
  <si>
    <t>$15.50</t>
  </si>
  <si>
    <t>6,124</t>
  </si>
  <si>
    <t>595-CD14538BE</t>
  </si>
  <si>
    <t>Texas Instruments</t>
  </si>
  <si>
    <t>$5.60</t>
  </si>
  <si>
    <t>512-CD4538BCN</t>
  </si>
  <si>
    <t>16,582</t>
  </si>
  <si>
    <t>512-MPSA42</t>
  </si>
  <si>
    <t>$4.10</t>
  </si>
  <si>
    <t>204</t>
  </si>
  <si>
    <t>769-ST1-DC12V-F</t>
  </si>
  <si>
    <t>2,043</t>
  </si>
  <si>
    <t>576-V130LA10AP</t>
  </si>
  <si>
    <t>200-TSW12308FSRA</t>
  </si>
  <si>
    <t>Samtec</t>
  </si>
  <si>
    <t>$1.77</t>
  </si>
  <si>
    <t>27,690</t>
  </si>
  <si>
    <t>512-1N5231B</t>
  </si>
  <si>
    <t>$0.65</t>
  </si>
  <si>
    <t>644-C050X044YJT</t>
  </si>
  <si>
    <t>Panduit</t>
  </si>
  <si>
    <t>20000\20000</t>
  </si>
  <si>
    <t>$1,689.97</t>
  </si>
  <si>
    <t>240-051-1S9MEPDNP1</t>
  </si>
  <si>
    <t>631-2400511S9MEPDNP1</t>
  </si>
  <si>
    <t>Glenair</t>
  </si>
  <si>
    <t>650</t>
  </si>
  <si>
    <t>Mouser</t>
  </si>
  <si>
    <t>Obsolete, Not quoted</t>
  </si>
  <si>
    <t>Newark</t>
  </si>
  <si>
    <t>Digikey</t>
  </si>
  <si>
    <t>Quest</t>
  </si>
  <si>
    <t>ACI Stock</t>
  </si>
  <si>
    <t>8603 BALFOUR 0149 BOM QUOTE 8-25-25</t>
  </si>
  <si>
    <t>Obsolete, 972 in stock at RS</t>
  </si>
  <si>
    <t>cannot find MPN</t>
  </si>
  <si>
    <t>Mouser, quoted Onsemi</t>
  </si>
  <si>
    <t>Obsolete, Quest</t>
  </si>
  <si>
    <t>sub per Adam</t>
  </si>
  <si>
    <t>Kemet</t>
  </si>
  <si>
    <t>R82EC1100SH50J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</si>
</sst>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mm/dd/yy;@"/>
    <numFmt numFmtId="165" formatCode="0.00000"/>
    <numFmt numFmtId="166" formatCode="&quot;$&quot;#,##0.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Tms Rmn"/>
    </font>
    <font>
      <b/>
      <sz val="16"/>
      <name val="Tms Rmn"/>
    </font>
    <font>
      <sz val="11"/>
      <color rgb="FFFF0000"/>
      <name val="Calibri"/>
      <family val="2"/>
      <scheme val="minor"/>
    </font>
    <font>
      <sz val="11"/>
      <color indexed="8"/>
      <name val="Arial"/>
      <family val="2"/>
    </font>
    <font>
      <b/>
      <u/>
      <sz val="11"/>
      <color theme="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0" fillId="2" borderId="26" applyNumberFormat="0" applyAlignment="0" applyProtection="0"/>
  </cellStyleXfs>
  <cellXfs count="114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/>
    <xf numFmtId="0" fontId="2" fillId="0" borderId="0" xfId="0" applyFont="1"/>
    <xf numFmtId="0" fontId="1" fillId="0" borderId="0" xfId="0" applyFont="1" applyAlignment="1">
      <alignment horizontal="right"/>
    </xf>
    <xf numFmtId="2" fontId="2" fillId="0" borderId="1" xfId="0" applyNumberFormat="1" applyFont="1" applyBorder="1"/>
    <xf numFmtId="0" fontId="3" fillId="0" borderId="0" xfId="0" applyFont="1"/>
    <xf numFmtId="1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2" fontId="2" fillId="0" borderId="3" xfId="0" applyNumberFormat="1" applyFont="1" applyBorder="1"/>
    <xf numFmtId="2" fontId="1" fillId="0" borderId="6" xfId="0" applyNumberFormat="1" applyFont="1" applyBorder="1"/>
    <xf numFmtId="0" fontId="2" fillId="0" borderId="7" xfId="0" applyFont="1" applyBorder="1"/>
    <xf numFmtId="0" fontId="2" fillId="0" borderId="8" xfId="0" applyFont="1" applyBorder="1"/>
    <xf numFmtId="2" fontId="1" fillId="0" borderId="9" xfId="0" applyNumberFormat="1" applyFont="1" applyBorder="1"/>
    <xf numFmtId="2" fontId="2" fillId="0" borderId="10" xfId="0" applyNumberFormat="1" applyFont="1" applyBorder="1"/>
    <xf numFmtId="2" fontId="1" fillId="0" borderId="11" xfId="0" applyNumberFormat="1" applyFont="1" applyBorder="1"/>
    <xf numFmtId="2" fontId="2" fillId="0" borderId="12" xfId="0" applyNumberFormat="1" applyFont="1" applyBorder="1"/>
    <xf numFmtId="2" fontId="2" fillId="0" borderId="13" xfId="0" applyNumberFormat="1" applyFont="1" applyBorder="1"/>
    <xf numFmtId="10" fontId="2" fillId="0" borderId="5" xfId="0" applyNumberFormat="1" applyFont="1" applyBorder="1"/>
    <xf numFmtId="2" fontId="2" fillId="0" borderId="5" xfId="0" applyNumberFormat="1" applyFont="1" applyBorder="1"/>
    <xf numFmtId="2" fontId="1" fillId="0" borderId="10" xfId="0" applyNumberFormat="1" applyFont="1" applyBorder="1"/>
    <xf numFmtId="2" fontId="1" fillId="0" borderId="12" xfId="0" applyNumberFormat="1" applyFont="1" applyBorder="1"/>
    <xf numFmtId="2" fontId="1" fillId="0" borderId="13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4" xfId="0" applyFont="1" applyBorder="1" applyAlignment="1">
      <alignment horizontal="right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7" xfId="0" applyFont="1" applyBorder="1" applyAlignment="1">
      <alignment horizontal="right"/>
    </xf>
    <xf numFmtId="0" fontId="4" fillId="0" borderId="20" xfId="0" applyFont="1" applyBorder="1" applyAlignment="1">
      <alignment horizontal="right"/>
    </xf>
    <xf numFmtId="0" fontId="4" fillId="0" borderId="20" xfId="0" applyFont="1" applyBorder="1"/>
    <xf numFmtId="0" fontId="4" fillId="0" borderId="21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0" xfId="0" applyFont="1" applyAlignment="1">
      <alignment horizontal="left"/>
    </xf>
    <xf numFmtId="0" fontId="4" fillId="0" borderId="2" xfId="0" applyFont="1" applyBorder="1"/>
    <xf numFmtId="0" fontId="4" fillId="0" borderId="22" xfId="0" applyFont="1" applyBorder="1" applyAlignment="1">
      <alignment horizontal="left"/>
    </xf>
    <xf numFmtId="0" fontId="4" fillId="0" borderId="22" xfId="0" applyFont="1" applyBorder="1"/>
    <xf numFmtId="0" fontId="4" fillId="0" borderId="5" xfId="0" applyFont="1" applyBorder="1"/>
    <xf numFmtId="0" fontId="5" fillId="0" borderId="25" xfId="0" applyFont="1" applyBorder="1" applyAlignment="1">
      <alignment vertical="center" wrapText="1"/>
    </xf>
    <xf numFmtId="0" fontId="6" fillId="0" borderId="0" xfId="0" applyFont="1"/>
    <xf numFmtId="0" fontId="7" fillId="0" borderId="23" xfId="0" applyFont="1" applyBorder="1" applyAlignment="1">
      <alignment horizontal="center" vertical="center" wrapText="1"/>
    </xf>
    <xf numFmtId="0" fontId="7" fillId="0" borderId="23" xfId="0" applyFont="1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7" fillId="0" borderId="25" xfId="0" applyFont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11" fillId="2" borderId="26" xfId="2" applyNumberFormat="1" applyFont="1" applyAlignment="1" applyProtection="1">
      <alignment horizontal="center"/>
      <protection locked="0"/>
    </xf>
    <xf numFmtId="0" fontId="11" fillId="2" borderId="26" xfId="2" applyFont="1" applyAlignment="1" applyProtection="1">
      <alignment horizontal="center"/>
      <protection locked="0"/>
    </xf>
    <xf numFmtId="49" fontId="11" fillId="2" borderId="26" xfId="2" applyNumberFormat="1" applyFont="1" applyAlignment="1" applyProtection="1">
      <alignment horizontal="center"/>
      <protection locked="0"/>
    </xf>
    <xf numFmtId="0" fontId="11" fillId="2" borderId="26" xfId="2" applyFont="1" applyAlignment="1" applyProtection="1">
      <alignment horizontal="left" vertical="center" wrapText="1"/>
      <protection locked="0"/>
    </xf>
    <xf numFmtId="0" fontId="11" fillId="2" borderId="26" xfId="2" applyFont="1" applyAlignment="1" applyProtection="1">
      <alignment horizontal="center" vertical="center"/>
      <protection locked="0"/>
    </xf>
    <xf numFmtId="0" fontId="12" fillId="0" borderId="27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4" fillId="0" borderId="28" xfId="0" applyFont="1" applyBorder="1" applyAlignment="1">
      <alignment horizontal="center"/>
    </xf>
    <xf numFmtId="0" fontId="13" fillId="0" borderId="0" xfId="0" applyFont="1" applyAlignment="1">
      <alignment vertical="top" wrapText="1"/>
    </xf>
    <xf numFmtId="49" fontId="0" fillId="0" borderId="0" xfId="0" applyNumberFormat="1"/>
    <xf numFmtId="0" fontId="9" fillId="0" borderId="0" xfId="1"/>
    <xf numFmtId="0" fontId="15" fillId="0" borderId="0" xfId="0" applyFont="1"/>
    <xf numFmtId="8" fontId="7" fillId="0" borderId="23" xfId="0" applyNumberFormat="1" applyFont="1" applyBorder="1" applyAlignment="1">
      <alignment horizontal="center" vertical="center" wrapText="1"/>
    </xf>
    <xf numFmtId="165" fontId="7" fillId="0" borderId="23" xfId="0" applyNumberFormat="1" applyFont="1" applyBorder="1" applyAlignment="1">
      <alignment horizontal="center" vertical="center" wrapText="1"/>
    </xf>
    <xf numFmtId="166" fontId="7" fillId="0" borderId="23" xfId="0" applyNumberFormat="1" applyFont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2" fontId="1" fillId="0" borderId="7" xfId="0" applyNumberFormat="1" applyFont="1" applyBorder="1"/>
    <xf numFmtId="2" fontId="1" fillId="0" borderId="5" xfId="0" applyNumberFormat="1" applyFont="1" applyBorder="1"/>
    <xf numFmtId="2" fontId="1" fillId="0" borderId="29" xfId="0" applyNumberFormat="1" applyFont="1" applyBorder="1"/>
    <xf numFmtId="0" fontId="16" fillId="4" borderId="2" xfId="0" applyFont="1" applyFill="1" applyBorder="1" applyAlignment="1" applyProtection="1">
      <alignment horizontal="center"/>
      <protection locked="0"/>
    </xf>
    <xf numFmtId="49" fontId="1" fillId="0" borderId="2" xfId="0" applyNumberFormat="1" applyFont="1" applyBorder="1" applyAlignment="1" applyProtection="1">
      <alignment horizontal="left" wrapText="1"/>
      <protection locked="0"/>
    </xf>
    <xf numFmtId="49" fontId="18" fillId="5" borderId="2" xfId="0" applyNumberFormat="1" applyFont="1" applyFill="1" applyBorder="1" applyAlignment="1" applyProtection="1">
      <alignment horizontal="left" wrapText="1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2" xfId="0" applyFont="1" applyBorder="1" applyProtection="1">
      <protection locked="0"/>
    </xf>
    <xf numFmtId="49" fontId="16" fillId="0" borderId="2" xfId="0" applyNumberFormat="1" applyFont="1" applyBorder="1" applyAlignment="1" applyProtection="1">
      <alignment wrapText="1"/>
      <protection locked="0"/>
    </xf>
    <xf numFmtId="2" fontId="1" fillId="0" borderId="1" xfId="0" quotePrefix="1" applyNumberFormat="1" applyFont="1" applyBorder="1"/>
    <xf numFmtId="2" fontId="1" fillId="6" borderId="1" xfId="0" quotePrefix="1" applyNumberFormat="1" applyFont="1" applyFill="1" applyBorder="1"/>
    <xf numFmtId="8" fontId="1" fillId="0" borderId="1" xfId="0" quotePrefix="1" applyNumberFormat="1" applyFont="1" applyBorder="1"/>
    <xf numFmtId="0" fontId="1" fillId="0" borderId="0" xfId="0" quotePrefix="1" applyFont="1"/>
    <xf numFmtId="0" fontId="16" fillId="7" borderId="2" xfId="0" applyFont="1" applyFill="1" applyBorder="1" applyAlignment="1" applyProtection="1">
      <alignment horizontal="center"/>
      <protection locked="0"/>
    </xf>
    <xf numFmtId="49" fontId="1" fillId="7" borderId="2" xfId="0" applyNumberFormat="1" applyFont="1" applyFill="1" applyBorder="1" applyAlignment="1" applyProtection="1">
      <alignment horizontal="left" wrapText="1"/>
      <protection locked="0"/>
    </xf>
    <xf numFmtId="0" fontId="1" fillId="7" borderId="2" xfId="0" applyFont="1" applyFill="1" applyBorder="1" applyAlignment="1" applyProtection="1">
      <alignment horizontal="center"/>
      <protection locked="0"/>
    </xf>
    <xf numFmtId="0" fontId="1" fillId="7" borderId="2" xfId="0" applyFont="1" applyFill="1" applyBorder="1" applyProtection="1">
      <protection locked="0"/>
    </xf>
    <xf numFmtId="49" fontId="16" fillId="7" borderId="2" xfId="0" applyNumberFormat="1" applyFont="1" applyFill="1" applyBorder="1" applyAlignment="1" applyProtection="1">
      <alignment wrapText="1"/>
      <protection locked="0"/>
    </xf>
    <xf numFmtId="0" fontId="1" fillId="7" borderId="1" xfId="0" applyFont="1" applyFill="1" applyBorder="1"/>
    <xf numFmtId="2" fontId="1" fillId="7" borderId="1" xfId="0" applyNumberFormat="1" applyFont="1" applyFill="1" applyBorder="1"/>
    <xf numFmtId="0" fontId="1" fillId="7" borderId="0" xfId="0" applyFont="1" applyFill="1"/>
    <xf numFmtId="0" fontId="16" fillId="0" borderId="2" xfId="0" applyFont="1" applyBorder="1" applyAlignment="1" applyProtection="1">
      <alignment horizontal="center"/>
      <protection locked="0"/>
    </xf>
    <xf numFmtId="49" fontId="18" fillId="7" borderId="2" xfId="0" applyNumberFormat="1" applyFont="1" applyFill="1" applyBorder="1" applyAlignment="1" applyProtection="1">
      <alignment horizontal="left" wrapText="1"/>
      <protection locked="0"/>
    </xf>
    <xf numFmtId="8" fontId="1" fillId="7" borderId="1" xfId="0" quotePrefix="1" applyNumberFormat="1" applyFont="1" applyFill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5" fillId="0" borderId="2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vertical="center" wrapText="1"/>
    </xf>
    <xf numFmtId="0" fontId="0" fillId="0" borderId="24" xfId="0" applyBorder="1" applyAlignment="1">
      <alignment vertical="center" wrapText="1"/>
    </xf>
  </cellXfs>
  <cellStyles count="3">
    <cellStyle name="Calculation" xfId="2" builtinId="22"/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jpeg"/><Relationship Id="rId4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5</xdr:col>
      <xdr:colOff>304800</xdr:colOff>
      <xdr:row>20</xdr:row>
      <xdr:rowOff>219075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90525" y="1600200"/>
          <a:ext cx="5229225" cy="1323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ECQ-B1H102JF,</a:t>
          </a:r>
          <a:r>
            <a:rPr lang="en-US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QYX1H102JTP</a:t>
          </a:r>
          <a:r>
            <a:rPr lang="en-US" sz="1200">
              <a:effectLst/>
            </a:rPr>
            <a:t>: 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Obsolete, quoted Kemet </a:t>
          </a:r>
          <a:r>
            <a:rPr lang="en-US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R82EC1100SH50J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 4N32: Obsolete but stock available; MPSA42: quoted ONsemi</a:t>
          </a:r>
          <a:endParaRPr lang="en-US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762000</xdr:colOff>
      <xdr:row>8</xdr:row>
      <xdr:rowOff>409575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469337-C90E-4266-89AD-6BD4948BB8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3800" y="1905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762000</xdr:colOff>
      <xdr:row>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964C52-B70B-42FD-869B-7003BE83EC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3800" y="9525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762000</xdr:colOff>
      <xdr:row>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59F23F-F9A1-4872-8EC7-EB4A066B46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43800" y="17145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762000</xdr:colOff>
      <xdr:row>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11767C-C663-4C50-8655-F336F3C9D9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43800" y="24765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762000</xdr:colOff>
      <xdr:row>9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B8DBAAE-308E-4729-B762-DD781816C3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43800" y="32385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762000</xdr:colOff>
      <xdr:row>10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03A1DC1-C307-48C1-8BCA-D6312FB44B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43800" y="40005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762000</xdr:colOff>
      <xdr:row>11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3396A2-8DF9-4159-AB43-FEFED9107F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43800" y="47625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762000</xdr:colOff>
      <xdr:row>12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505DB9C-13F7-45D0-99F9-4BD1CCDAF7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43800" y="55245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762000</xdr:colOff>
      <xdr:row>13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B081111-C584-4E93-9551-0D97DA7710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43800" y="62865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762000</xdr:colOff>
      <xdr:row>14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38AF35-1B9C-4857-AF29-23CE002E50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543800" y="70485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762000</xdr:colOff>
      <xdr:row>15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289BB9A-FF30-4ABD-B162-86D4DB5458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43800" y="78105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762000</xdr:colOff>
      <xdr:row>16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17EF0A0-CCA6-477A-A12A-E5BA83C4CD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543800" y="85725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762000</xdr:colOff>
      <xdr:row>17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D8C6298-5363-4707-9F1C-6904983592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43800" y="93345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762000</xdr:colOff>
      <xdr:row>18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2A72ED5-7D4D-4AD5-BF63-055D19F261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543800" y="100965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762000</xdr:colOff>
      <xdr:row>19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37F8DBC-B7D4-4EC5-AAE8-CB098E478E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543800" y="108585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762000</xdr:colOff>
      <xdr:row>20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85DDC29-4864-4144-8D25-8139D867FE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543800" y="116205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762000</xdr:colOff>
      <xdr:row>21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4BEB478-D40A-4F96-8297-DB3E08255E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43800" y="123825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762000</xdr:colOff>
      <xdr:row>22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CA8EC6D-F69B-428B-A51E-6731ECB7B5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543800" y="131445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762000</xdr:colOff>
      <xdr:row>24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6ED9341-074E-46F1-9516-27F67423FE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543800" y="141351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762000</xdr:colOff>
      <xdr:row>25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E145D01-D9CB-42CC-9590-F5C8AE6BA2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543800" y="148971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762000</xdr:colOff>
      <xdr:row>26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40E9F13-A44A-45F1-9A7F-C9B105FF10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43800" y="156591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762000</xdr:colOff>
      <xdr:row>27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B9A0C37-3191-4DAA-BC96-4D128806D4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543800" y="164211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762000</xdr:colOff>
      <xdr:row>28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7F77E07-F990-45C1-AD02-CFEBFBF699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543800" y="171831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762000</xdr:colOff>
      <xdr:row>29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E77DF78-4FA7-4732-AA0C-3889080AD6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543800" y="179451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762000</xdr:colOff>
      <xdr:row>30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193802A-A53B-49D0-99D5-6B04F2731A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543800" y="187071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762000</xdr:colOff>
      <xdr:row>31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67257CB-9942-41CE-B4C3-817BBB359F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43800" y="194691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762000</xdr:colOff>
      <xdr:row>32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778DBE1-9D8A-42C8-B1AA-E896083DD3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543800" y="202311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762000</xdr:colOff>
      <xdr:row>33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13DBF2-73FD-4ECC-A93E-A9A39A1419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543800" y="209931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762000</xdr:colOff>
      <xdr:row>34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6895447-868F-44BA-90B6-282D31372F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543800" y="217551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762000</xdr:colOff>
      <xdr:row>35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E1D5846-5B3E-42B0-A116-A56211E4A5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543800" y="2251710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0</xdr:row>
      <xdr:rowOff>104775</xdr:rowOff>
    </xdr:from>
    <xdr:to>
      <xdr:col>14</xdr:col>
      <xdr:colOff>504825</xdr:colOff>
      <xdr:row>20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5BB82B-A932-26F5-B2EF-8042F7EDB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104775"/>
          <a:ext cx="7886700" cy="3743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104775</xdr:colOff>
      <xdr:row>0</xdr:row>
      <xdr:rowOff>76200</xdr:rowOff>
    </xdr:from>
    <xdr:to>
      <xdr:col>26</xdr:col>
      <xdr:colOff>457200</xdr:colOff>
      <xdr:row>24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62D2DC-2D92-65EE-529D-7B394133B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76200"/>
          <a:ext cx="7058025" cy="458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238125</xdr:colOff>
      <xdr:row>20</xdr:row>
      <xdr:rowOff>171450</xdr:rowOff>
    </xdr:from>
    <xdr:to>
      <xdr:col>14</xdr:col>
      <xdr:colOff>390525</xdr:colOff>
      <xdr:row>35</xdr:row>
      <xdr:rowOff>123825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4EF6350C-0B45-4935-1BBD-19BA2A44394B}"/>
            </a:ext>
          </a:extLst>
        </xdr:cNvPr>
        <xdr:cNvGrpSpPr/>
      </xdr:nvGrpSpPr>
      <xdr:grpSpPr>
        <a:xfrm>
          <a:off x="5114925" y="3981450"/>
          <a:ext cx="3810000" cy="2809875"/>
          <a:chOff x="5114925" y="3981450"/>
          <a:chExt cx="3810000" cy="280987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3174A9C8-44DA-4E28-C8FC-C721559170A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14925" y="3981450"/>
            <a:ext cx="3810000" cy="28098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EA794B93-F4D7-3D17-98EF-52AD077CCD1C}"/>
              </a:ext>
            </a:extLst>
          </xdr:cNvPr>
          <xdr:cNvSpPr txBox="1"/>
        </xdr:nvSpPr>
        <xdr:spPr>
          <a:xfrm>
            <a:off x="5143500" y="3990975"/>
            <a:ext cx="762000" cy="45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/>
              <a:t>QFP</a:t>
            </a:r>
          </a:p>
        </xdr:txBody>
      </xdr:sp>
    </xdr:grpSp>
    <xdr:clientData/>
  </xdr:twoCellAnchor>
  <xdr:twoCellAnchor>
    <xdr:from>
      <xdr:col>15</xdr:col>
      <xdr:colOff>209550</xdr:colOff>
      <xdr:row>25</xdr:row>
      <xdr:rowOff>9525</xdr:rowOff>
    </xdr:from>
    <xdr:to>
      <xdr:col>24</xdr:col>
      <xdr:colOff>438150</xdr:colOff>
      <xdr:row>34</xdr:row>
      <xdr:rowOff>104775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6EA2885F-2F8A-A96A-06D5-1638BBEA1FDA}"/>
            </a:ext>
          </a:extLst>
        </xdr:cNvPr>
        <xdr:cNvGrpSpPr/>
      </xdr:nvGrpSpPr>
      <xdr:grpSpPr>
        <a:xfrm>
          <a:off x="9353550" y="4772025"/>
          <a:ext cx="5715000" cy="1809750"/>
          <a:chOff x="9353550" y="4772025"/>
          <a:chExt cx="5715000" cy="1809750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45A48C26-F5F9-6CC9-6446-8BDE61DDAD8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353550" y="4829175"/>
            <a:ext cx="5715000" cy="17526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566F577-5440-4605-A6B6-0000E35AA069}"/>
              </a:ext>
            </a:extLst>
          </xdr:cNvPr>
          <xdr:cNvSpPr txBox="1"/>
        </xdr:nvSpPr>
        <xdr:spPr>
          <a:xfrm>
            <a:off x="12925425" y="4772025"/>
            <a:ext cx="762000" cy="45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/>
              <a:t>QFN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i-serv2\purchasing\%23OPEN%23\attri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 t="str">
            <v>QTY</v>
          </cell>
          <cell r="B1" t="str">
            <v>COST</v>
          </cell>
        </row>
        <row r="2">
          <cell r="A2">
            <v>250</v>
          </cell>
          <cell r="B2">
            <v>1E-4</v>
          </cell>
        </row>
        <row r="3">
          <cell r="A3">
            <v>150</v>
          </cell>
          <cell r="B3">
            <v>0.04</v>
          </cell>
        </row>
        <row r="4">
          <cell r="A4">
            <v>100</v>
          </cell>
          <cell r="B4">
            <v>7.0000000000000007E-2</v>
          </cell>
        </row>
        <row r="5">
          <cell r="A5">
            <v>35</v>
          </cell>
          <cell r="B5">
            <v>0.15</v>
          </cell>
        </row>
        <row r="6">
          <cell r="A6">
            <v>20</v>
          </cell>
          <cell r="B6">
            <v>0.25</v>
          </cell>
        </row>
        <row r="7">
          <cell r="A7">
            <v>15</v>
          </cell>
          <cell r="B7">
            <v>0.35</v>
          </cell>
        </row>
        <row r="8">
          <cell r="A8">
            <v>10</v>
          </cell>
          <cell r="B8">
            <v>0.5</v>
          </cell>
        </row>
        <row r="9">
          <cell r="A9">
            <v>5</v>
          </cell>
          <cell r="B9">
            <v>1</v>
          </cell>
        </row>
        <row r="10">
          <cell r="A10">
            <v>5</v>
          </cell>
          <cell r="B10">
            <v>1.5</v>
          </cell>
        </row>
        <row r="11">
          <cell r="A11">
            <v>2</v>
          </cell>
          <cell r="B11">
            <v>2.5</v>
          </cell>
        </row>
        <row r="12">
          <cell r="A12">
            <v>0</v>
          </cell>
          <cell r="B12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ellsworth.com/products/by-manufacturer/humiseal/conformal-coatings/polyurethane/humiseal-1a33-polyurethane-conformal-coating-clear-263-g-aeroso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63"/>
  <sheetViews>
    <sheetView tabSelected="1" zoomScale="85" zoomScaleNormal="85" workbookViewId="0"/>
  </sheetViews>
  <sheetFormatPr defaultRowHeight="18" customHeight="1" x14ac:dyDescent="0.2"/>
  <cols>
    <col min="1" max="1" width="5.85546875" style="3" customWidth="1"/>
    <col min="2" max="2" width="46" style="1" customWidth="1"/>
    <col min="3" max="3" width="26.42578125" style="1" bestFit="1" customWidth="1"/>
    <col min="4" max="4" width="21" style="1" bestFit="1" customWidth="1"/>
    <col min="5" max="5" width="8.5703125" style="1" customWidth="1"/>
    <col min="6" max="6" width="9.28515625" style="1" bestFit="1" customWidth="1"/>
    <col min="7" max="7" width="23.85546875" style="1" bestFit="1" customWidth="1"/>
    <col min="8" max="8" width="7.85546875" style="1" bestFit="1" customWidth="1"/>
    <col min="9" max="9" width="8.7109375" style="2" bestFit="1" customWidth="1"/>
    <col min="10" max="10" width="8.7109375" style="2" customWidth="1"/>
    <col min="11" max="11" width="10.28515625" style="1" customWidth="1"/>
    <col min="12" max="12" width="9.42578125" style="1" bestFit="1" customWidth="1"/>
    <col min="13" max="13" width="9.42578125" style="1" customWidth="1"/>
    <col min="14" max="14" width="30.140625" style="1" bestFit="1" customWidth="1"/>
    <col min="15" max="16384" width="9.140625" style="1"/>
  </cols>
  <sheetData>
    <row r="2" spans="1:18" s="15" customFormat="1" ht="18" customHeight="1" x14ac:dyDescent="0.25">
      <c r="A2" s="14"/>
      <c r="B2" s="15" t="s">
        <v>353</v>
      </c>
      <c r="I2" s="16"/>
      <c r="J2" s="16"/>
    </row>
    <row r="3" spans="1:18" ht="18" customHeight="1" x14ac:dyDescent="0.2">
      <c r="B3" s="10"/>
      <c r="I3" s="8"/>
      <c r="J3" s="8"/>
    </row>
    <row r="4" spans="1:18" ht="18" customHeight="1" x14ac:dyDescent="0.25">
      <c r="B4" s="49">
        <f>COUNTIF(S24:S56,"ERROR")</f>
        <v>0</v>
      </c>
      <c r="C4" s="50" t="s">
        <v>28</v>
      </c>
      <c r="D4" s="51"/>
      <c r="E4" s="52"/>
      <c r="I4" s="8"/>
      <c r="J4" s="8"/>
    </row>
    <row r="5" spans="1:18" ht="18" customHeight="1" thickBot="1" x14ac:dyDescent="0.25">
      <c r="B5" s="10"/>
      <c r="I5" s="8"/>
      <c r="J5" s="8"/>
    </row>
    <row r="6" spans="1:18" s="15" customFormat="1" ht="18" customHeight="1" thickBot="1" x14ac:dyDescent="0.3">
      <c r="A6" s="14"/>
      <c r="B6" s="42" t="s">
        <v>16</v>
      </c>
      <c r="C6" s="108"/>
      <c r="D6" s="109"/>
      <c r="I6" s="16"/>
      <c r="J6" s="16"/>
    </row>
    <row r="7" spans="1:18" s="15" customFormat="1" ht="18" customHeight="1" thickBot="1" x14ac:dyDescent="0.3">
      <c r="A7" s="14"/>
      <c r="B7" s="42" t="s">
        <v>10</v>
      </c>
      <c r="C7" s="46"/>
      <c r="D7" s="47" t="s">
        <v>21</v>
      </c>
      <c r="O7" s="49">
        <f>COUNTIF(S24:S56,"ERROR")</f>
        <v>0</v>
      </c>
      <c r="P7" s="50" t="s">
        <v>28</v>
      </c>
      <c r="Q7" s="51"/>
      <c r="R7" s="52"/>
    </row>
    <row r="8" spans="1:18" s="15" customFormat="1" ht="18" customHeight="1" thickBot="1" x14ac:dyDescent="0.3">
      <c r="A8" s="14"/>
      <c r="B8" s="43"/>
      <c r="C8" s="44"/>
      <c r="D8" s="45"/>
      <c r="I8" s="16"/>
      <c r="J8" s="16"/>
    </row>
    <row r="9" spans="1:18" s="15" customFormat="1" ht="18" customHeight="1" x14ac:dyDescent="0.25">
      <c r="A9" s="14"/>
      <c r="B9" s="34" t="s">
        <v>12</v>
      </c>
      <c r="C9" s="35" t="s">
        <v>22</v>
      </c>
      <c r="D9" s="36" t="s">
        <v>24</v>
      </c>
      <c r="I9" s="16"/>
      <c r="J9" s="16"/>
    </row>
    <row r="10" spans="1:18" s="15" customFormat="1" ht="18" customHeight="1" x14ac:dyDescent="0.25">
      <c r="A10" s="14"/>
      <c r="B10" s="37" t="s">
        <v>15</v>
      </c>
      <c r="C10" s="33">
        <f>SUMIF(F24:F56,"SMT",E24:E56)+SUMIF(F24:F56,"SMD",E24:E56)</f>
        <v>0</v>
      </c>
      <c r="D10" s="38">
        <f>COUNTIFS(F24:F56,"SMT")+COUNTIFS(F24:F56,"SMD")</f>
        <v>0</v>
      </c>
      <c r="I10" s="16"/>
      <c r="J10" s="16"/>
    </row>
    <row r="11" spans="1:18" s="15" customFormat="1" ht="18" customHeight="1" x14ac:dyDescent="0.25">
      <c r="A11" s="14"/>
      <c r="B11" s="37" t="s">
        <v>59</v>
      </c>
      <c r="C11" s="33">
        <f>SUMIF(F24:F56,"QFN",E24:E56)+SUMIF(F24:F56,"BGA",E24:E56)+SUMIF(F24:F56,"QFP",E24:E56)+SUMIF(F24:F56,"FINE PITCH",E24:E56)</f>
        <v>0</v>
      </c>
      <c r="D11" s="38">
        <f>COUNTIFS(F24:F56,"QFN",E24:E56,"&lt;&gt;")+COUNTIFS(F24:F56,"BGA",E24:E56,"&lt;&gt;")+COUNTIFS(F24:F56,"QFP",E24:E56,"&lt;&gt;")+COUNTIFS(F24:F56,"FINE PITCH",E24:E56,"&lt;&gt;")</f>
        <v>0</v>
      </c>
      <c r="I11" s="16"/>
      <c r="J11" s="16"/>
    </row>
    <row r="12" spans="1:18" s="15" customFormat="1" ht="18" customHeight="1" x14ac:dyDescent="0.25">
      <c r="A12" s="14"/>
      <c r="B12" s="37" t="s">
        <v>25</v>
      </c>
      <c r="C12" s="32">
        <f>SUMIF(F24:F56,"TH",E24:E56)</f>
        <v>34</v>
      </c>
      <c r="D12" s="38">
        <f>COUNTIFS(F24:F56,"TH",E24:E56,"&lt;&gt;")</f>
        <v>23</v>
      </c>
      <c r="I12" s="16"/>
      <c r="J12" s="16"/>
    </row>
    <row r="13" spans="1:18" s="15" customFormat="1" ht="18" customHeight="1" x14ac:dyDescent="0.25">
      <c r="A13" s="14"/>
      <c r="B13" s="37" t="s">
        <v>17</v>
      </c>
      <c r="C13" s="32">
        <f>SUMIF(F24:F56,"HAND",E24:E56)</f>
        <v>1</v>
      </c>
      <c r="D13" s="38">
        <f>COUNTIFS(F24:F56,"HAND",E24:E56,"&lt;&gt;")</f>
        <v>1</v>
      </c>
      <c r="I13" s="16"/>
      <c r="J13" s="16"/>
    </row>
    <row r="14" spans="1:18" s="15" customFormat="1" ht="18" customHeight="1" thickBot="1" x14ac:dyDescent="0.3">
      <c r="A14" s="14"/>
      <c r="B14" s="39" t="s">
        <v>23</v>
      </c>
      <c r="C14" s="40">
        <f>SUM(E24:E56)</f>
        <v>36</v>
      </c>
      <c r="D14" s="41">
        <f>COUNTIFS(E24:E56,"&gt;0",E24:E56,"&lt;&gt;")</f>
        <v>25</v>
      </c>
      <c r="I14" s="16"/>
      <c r="J14" s="16"/>
    </row>
    <row r="15" spans="1:18" ht="18" customHeight="1" x14ac:dyDescent="0.25">
      <c r="B15" s="48" t="s">
        <v>26</v>
      </c>
      <c r="C15" s="15"/>
      <c r="D15" s="15"/>
      <c r="I15" s="8"/>
      <c r="J15" s="8"/>
    </row>
    <row r="16" spans="1:18" ht="18" customHeight="1" x14ac:dyDescent="0.2">
      <c r="B16" s="10"/>
      <c r="I16" s="8"/>
      <c r="J16" s="8"/>
    </row>
    <row r="17" spans="1:19" ht="18" customHeight="1" thickBot="1" x14ac:dyDescent="0.25">
      <c r="B17" s="10"/>
      <c r="I17" s="8"/>
      <c r="J17" s="8"/>
    </row>
    <row r="18" spans="1:19" ht="18" customHeight="1" x14ac:dyDescent="0.25">
      <c r="B18" s="10"/>
      <c r="J18" s="19"/>
      <c r="K18" s="20" t="s">
        <v>7</v>
      </c>
      <c r="L18" s="21" t="s">
        <v>9</v>
      </c>
      <c r="M18" s="7" t="s">
        <v>19</v>
      </c>
    </row>
    <row r="19" spans="1:19" ht="15" customHeight="1" x14ac:dyDescent="0.25">
      <c r="B19" s="10"/>
      <c r="J19" s="22" t="str">
        <f>I59</f>
        <v>EA 50</v>
      </c>
      <c r="K19" s="6">
        <f t="shared" ref="K19:L20" si="0">K59</f>
        <v>21.934299999999997</v>
      </c>
      <c r="L19" s="29">
        <f t="shared" si="0"/>
        <v>22.036999999999999</v>
      </c>
      <c r="M19" s="28">
        <f>M59</f>
        <v>25.631599999999999</v>
      </c>
    </row>
    <row r="20" spans="1:19" ht="18" customHeight="1" thickBot="1" x14ac:dyDescent="0.3">
      <c r="B20" s="10"/>
      <c r="J20" s="24" t="str">
        <f>I60</f>
        <v>EA 50+</v>
      </c>
      <c r="K20" s="30">
        <f t="shared" si="0"/>
        <v>1.06</v>
      </c>
      <c r="L20" s="31">
        <f t="shared" si="0"/>
        <v>23.359220000000001</v>
      </c>
      <c r="M20" s="27">
        <f>1-K19/M19</f>
        <v>0.14424772546388065</v>
      </c>
    </row>
    <row r="21" spans="1:19" ht="18" customHeight="1" x14ac:dyDescent="0.2">
      <c r="B21" s="10"/>
      <c r="K21" s="8"/>
    </row>
    <row r="22" spans="1:19" ht="18" customHeight="1" x14ac:dyDescent="0.2">
      <c r="H22" s="4" t="s">
        <v>11</v>
      </c>
      <c r="I22" s="11">
        <f>$H23</f>
        <v>50</v>
      </c>
      <c r="J22" s="11">
        <f>$H23</f>
        <v>50</v>
      </c>
      <c r="K22" s="4">
        <f>H23</f>
        <v>50</v>
      </c>
      <c r="L22" s="4">
        <f>H23</f>
        <v>50</v>
      </c>
      <c r="M22" s="4">
        <f>H23</f>
        <v>50</v>
      </c>
    </row>
    <row r="23" spans="1:19" ht="15" x14ac:dyDescent="0.25">
      <c r="A23" s="3" t="s">
        <v>0</v>
      </c>
      <c r="B23" s="1" t="s">
        <v>1</v>
      </c>
      <c r="C23" s="1" t="s">
        <v>2</v>
      </c>
      <c r="D23" s="1" t="s">
        <v>3</v>
      </c>
      <c r="E23" s="1" t="s">
        <v>5</v>
      </c>
      <c r="F23" s="7" t="s">
        <v>14</v>
      </c>
      <c r="G23" s="1" t="s">
        <v>4</v>
      </c>
      <c r="H23" s="12">
        <v>50</v>
      </c>
      <c r="I23" s="13" t="s">
        <v>6</v>
      </c>
      <c r="J23" s="13" t="s">
        <v>87</v>
      </c>
      <c r="K23" s="4" t="s">
        <v>7</v>
      </c>
      <c r="L23" s="4" t="s">
        <v>9</v>
      </c>
      <c r="M23" s="4" t="s">
        <v>18</v>
      </c>
      <c r="N23" s="3" t="s">
        <v>8</v>
      </c>
      <c r="O23" s="96" t="s">
        <v>220</v>
      </c>
      <c r="S23" s="1" t="s">
        <v>27</v>
      </c>
    </row>
    <row r="24" spans="1:19" ht="147" x14ac:dyDescent="0.25">
      <c r="A24" s="87">
        <v>5</v>
      </c>
      <c r="B24" s="88" t="s">
        <v>96</v>
      </c>
      <c r="C24" s="88" t="s">
        <v>97</v>
      </c>
      <c r="D24" s="88" t="s">
        <v>98</v>
      </c>
      <c r="E24" s="90">
        <v>1</v>
      </c>
      <c r="F24" s="91" t="s">
        <v>202</v>
      </c>
      <c r="G24" s="92" t="s">
        <v>157</v>
      </c>
      <c r="H24" s="5">
        <f>$H$23*$E24</f>
        <v>50</v>
      </c>
      <c r="I24" s="95">
        <v>0.25</v>
      </c>
      <c r="J24" s="6"/>
      <c r="K24" s="6">
        <f>(I24+J24)*$E24</f>
        <v>0.25</v>
      </c>
      <c r="L24" s="6">
        <f>IF(K24&gt;0,IF(K24*$H$23&lt;2.5,2.5/$H$23,K24),0)</f>
        <v>0.25</v>
      </c>
      <c r="M24" s="6">
        <f>IFERROR((I24+J24)*INDEX([1]Sheet1!$A$1:$A$13,MATCH((I24+J24),[1]Sheet1!$B$1:$B$13)),0)</f>
        <v>5</v>
      </c>
      <c r="N24" s="1" t="s">
        <v>352</v>
      </c>
      <c r="O24" s="96" t="s">
        <v>221</v>
      </c>
      <c r="S24" s="1" t="str">
        <f>IF(E24&gt;0,(IF(I24&gt;0,"","ERROR")),"")</f>
        <v/>
      </c>
    </row>
    <row r="25" spans="1:19" ht="18" customHeight="1" x14ac:dyDescent="0.2">
      <c r="A25" s="87">
        <v>5</v>
      </c>
      <c r="B25" s="88" t="s">
        <v>99</v>
      </c>
      <c r="C25" s="88" t="s">
        <v>97</v>
      </c>
      <c r="D25" s="88" t="s">
        <v>100</v>
      </c>
      <c r="E25" s="90"/>
      <c r="F25" s="91"/>
      <c r="G25" s="92"/>
      <c r="H25" s="5">
        <f t="shared" ref="H25:H56" si="1">$H$23*$E25</f>
        <v>0</v>
      </c>
      <c r="I25" s="6"/>
      <c r="J25" s="6"/>
      <c r="K25" s="6">
        <f t="shared" ref="K25:K56" si="2">(I25+J25)*$E25</f>
        <v>0</v>
      </c>
      <c r="L25" s="6">
        <f>IF(K25&gt;0,IF(K25*$H$23&lt;2.5,2.5/$H$23,K25),0)</f>
        <v>0</v>
      </c>
      <c r="M25" s="6">
        <f>IFERROR((I25+J25)*INDEX([1]Sheet1!$A$1:$A$13,MATCH((I25+J25),[1]Sheet1!$B$1:$B$13)),0)</f>
        <v>0</v>
      </c>
      <c r="O25" s="96" t="s">
        <v>222</v>
      </c>
      <c r="S25" s="1" t="str">
        <f t="shared" ref="S25:S56" si="3">IF(E25&gt;0,(IF(I25&gt;0,"","ERROR")),"")</f>
        <v/>
      </c>
    </row>
    <row r="26" spans="1:19" ht="18" customHeight="1" x14ac:dyDescent="0.2">
      <c r="A26" s="87">
        <v>10</v>
      </c>
      <c r="B26" s="88" t="s">
        <v>185</v>
      </c>
      <c r="C26" s="88" t="s">
        <v>101</v>
      </c>
      <c r="D26" s="88" t="s">
        <v>102</v>
      </c>
      <c r="E26" s="90"/>
      <c r="F26" s="91"/>
      <c r="G26" s="92"/>
      <c r="H26" s="5">
        <f t="shared" si="1"/>
        <v>0</v>
      </c>
      <c r="I26" s="6"/>
      <c r="J26" s="6"/>
      <c r="K26" s="6">
        <f t="shared" si="2"/>
        <v>0</v>
      </c>
      <c r="L26" s="6">
        <f>IF(K26&gt;0,IF(K26*$H$23&lt;2.5,2.5/$H$23,K26),0)</f>
        <v>0</v>
      </c>
      <c r="M26" s="6">
        <f>IFERROR((I26+J26)*INDEX([1]Sheet1!$A$1:$A$13,MATCH((I26+J26),[1]Sheet1!$B$1:$B$13)),0)</f>
        <v>0</v>
      </c>
      <c r="O26" s="96" t="s">
        <v>222</v>
      </c>
      <c r="S26" s="1" t="str">
        <f t="shared" si="3"/>
        <v/>
      </c>
    </row>
    <row r="27" spans="1:19" ht="18" customHeight="1" x14ac:dyDescent="0.2">
      <c r="A27" s="87">
        <v>10</v>
      </c>
      <c r="B27" s="88" t="s">
        <v>99</v>
      </c>
      <c r="C27" s="88" t="s">
        <v>101</v>
      </c>
      <c r="D27" s="88" t="s">
        <v>103</v>
      </c>
      <c r="E27" s="90">
        <v>5</v>
      </c>
      <c r="F27" s="91" t="s">
        <v>184</v>
      </c>
      <c r="G27" s="92" t="s">
        <v>158</v>
      </c>
      <c r="H27" s="5">
        <f t="shared" si="1"/>
        <v>250</v>
      </c>
      <c r="I27" s="95">
        <v>0.60199999999999998</v>
      </c>
      <c r="J27" s="95">
        <v>0.12</v>
      </c>
      <c r="K27" s="6">
        <f t="shared" si="2"/>
        <v>3.61</v>
      </c>
      <c r="L27" s="6">
        <f>IF(K27&gt;0,IF(K27*$H$23&lt;2.5,2.5/$H$23,K27),0)</f>
        <v>3.61</v>
      </c>
      <c r="M27" s="6">
        <f>IFERROR((I27+J27)*INDEX([1]Sheet1!$A$1:$A$13,MATCH((I27+J27),[1]Sheet1!$B$1:$B$13)),0)</f>
        <v>7.22</v>
      </c>
      <c r="N27" s="1" t="s">
        <v>347</v>
      </c>
      <c r="O27" s="96" t="s">
        <v>223</v>
      </c>
      <c r="S27" s="1" t="str">
        <f t="shared" si="3"/>
        <v/>
      </c>
    </row>
    <row r="28" spans="1:19" ht="18" customHeight="1" x14ac:dyDescent="0.2">
      <c r="A28" s="97">
        <v>15</v>
      </c>
      <c r="B28" s="98" t="s">
        <v>186</v>
      </c>
      <c r="C28" s="98" t="s">
        <v>104</v>
      </c>
      <c r="D28" s="98" t="s">
        <v>105</v>
      </c>
      <c r="E28" s="99"/>
      <c r="F28" s="100"/>
      <c r="G28" s="101" t="s">
        <v>159</v>
      </c>
      <c r="H28" s="102">
        <f t="shared" si="1"/>
        <v>0</v>
      </c>
      <c r="I28" s="103"/>
      <c r="J28" s="102"/>
      <c r="K28" s="103">
        <f t="shared" si="2"/>
        <v>0</v>
      </c>
      <c r="L28" s="103">
        <f t="shared" ref="L28:L56" si="4">IF(K28&gt;0,IF(K28*$H$23&lt;2.5,2.5/$H$23,K28),0)</f>
        <v>0</v>
      </c>
      <c r="M28" s="103">
        <f>IFERROR((I28+J28)*INDEX([1]Sheet1!$A$1:$A$13,MATCH((I28+J28),[1]Sheet1!$B$1:$B$13)),0)</f>
        <v>0</v>
      </c>
      <c r="N28" s="104" t="s">
        <v>348</v>
      </c>
      <c r="O28" s="96" t="s">
        <v>222</v>
      </c>
      <c r="S28" s="1" t="str">
        <f t="shared" si="3"/>
        <v/>
      </c>
    </row>
    <row r="29" spans="1:19" ht="18" customHeight="1" x14ac:dyDescent="0.2">
      <c r="A29" s="97">
        <v>15</v>
      </c>
      <c r="B29" s="98" t="s">
        <v>99</v>
      </c>
      <c r="C29" s="98" t="s">
        <v>106</v>
      </c>
      <c r="D29" s="98" t="s">
        <v>107</v>
      </c>
      <c r="E29" s="99"/>
      <c r="F29" s="100"/>
      <c r="G29" s="101" t="s">
        <v>159</v>
      </c>
      <c r="H29" s="102">
        <f t="shared" si="1"/>
        <v>0</v>
      </c>
      <c r="I29" s="103"/>
      <c r="J29" s="102"/>
      <c r="K29" s="103">
        <f t="shared" si="2"/>
        <v>0</v>
      </c>
      <c r="L29" s="103">
        <f t="shared" si="4"/>
        <v>0</v>
      </c>
      <c r="M29" s="103">
        <f>IFERROR((I29+J29)*INDEX([1]Sheet1!$A$1:$A$13,MATCH((I29+J29),[1]Sheet1!$B$1:$B$13)),0)</f>
        <v>0</v>
      </c>
      <c r="N29" s="104" t="s">
        <v>348</v>
      </c>
      <c r="O29" s="96" t="s">
        <v>222</v>
      </c>
      <c r="S29" s="1" t="str">
        <f t="shared" si="3"/>
        <v/>
      </c>
    </row>
    <row r="30" spans="1:19" ht="18" customHeight="1" x14ac:dyDescent="0.2">
      <c r="A30" s="97">
        <v>15</v>
      </c>
      <c r="B30" s="98" t="s">
        <v>99</v>
      </c>
      <c r="C30" s="98" t="s">
        <v>359</v>
      </c>
      <c r="D30" s="98" t="s">
        <v>360</v>
      </c>
      <c r="E30" s="99">
        <v>1</v>
      </c>
      <c r="F30" s="100" t="s">
        <v>184</v>
      </c>
      <c r="G30" s="101" t="s">
        <v>159</v>
      </c>
      <c r="H30" s="102">
        <f t="shared" si="1"/>
        <v>50</v>
      </c>
      <c r="I30" s="103">
        <v>0.11600000000000001</v>
      </c>
      <c r="J30" s="102"/>
      <c r="K30" s="103">
        <f t="shared" ref="K30" si="5">(I30+J30)*$E30</f>
        <v>0.11600000000000001</v>
      </c>
      <c r="L30" s="103">
        <f t="shared" ref="L30" si="6">IF(K30&gt;0,IF(K30*$H$23&lt;2.5,2.5/$H$23,K30),0)</f>
        <v>0.11600000000000001</v>
      </c>
      <c r="M30" s="103">
        <f>IFERROR((I30+J30)*INDEX([1]Sheet1!$A$1:$A$13,MATCH((I30+J30),[1]Sheet1!$B$1:$B$13)),0)</f>
        <v>11.600000000000001</v>
      </c>
      <c r="N30" s="104" t="s">
        <v>358</v>
      </c>
      <c r="O30" s="96" t="s">
        <v>222</v>
      </c>
      <c r="S30" s="1" t="str">
        <f t="shared" ref="S30" si="7">IF(E30&gt;0,(IF(I30&gt;0,"","ERROR")),"")</f>
        <v/>
      </c>
    </row>
    <row r="31" spans="1:19" ht="18" customHeight="1" x14ac:dyDescent="0.2">
      <c r="A31" s="87">
        <v>20</v>
      </c>
      <c r="B31" s="88" t="s">
        <v>187</v>
      </c>
      <c r="C31" s="88" t="s">
        <v>104</v>
      </c>
      <c r="D31" s="88" t="s">
        <v>108</v>
      </c>
      <c r="E31" s="90">
        <v>1</v>
      </c>
      <c r="F31" s="91" t="s">
        <v>184</v>
      </c>
      <c r="G31" s="92" t="s">
        <v>160</v>
      </c>
      <c r="H31" s="5">
        <f t="shared" si="1"/>
        <v>50</v>
      </c>
      <c r="I31" s="95">
        <v>0.41399999999999998</v>
      </c>
      <c r="J31" s="95">
        <v>4.1000000000000002E-2</v>
      </c>
      <c r="K31" s="6">
        <f t="shared" si="2"/>
        <v>0.45499999999999996</v>
      </c>
      <c r="L31" s="6">
        <f t="shared" si="4"/>
        <v>0.45499999999999996</v>
      </c>
      <c r="M31" s="6">
        <f>IFERROR((I31+J31)*INDEX([1]Sheet1!$A$1:$A$13,MATCH((I31+J31),[1]Sheet1!$B$1:$B$13)),0)</f>
        <v>6.8249999999999993</v>
      </c>
      <c r="N31" s="1" t="s">
        <v>349</v>
      </c>
      <c r="O31" s="96" t="s">
        <v>222</v>
      </c>
      <c r="S31" s="1" t="str">
        <f t="shared" si="3"/>
        <v/>
      </c>
    </row>
    <row r="32" spans="1:19" ht="18" customHeight="1" x14ac:dyDescent="0.2">
      <c r="A32" s="87">
        <v>25</v>
      </c>
      <c r="B32" s="88" t="s">
        <v>188</v>
      </c>
      <c r="C32" s="88" t="s">
        <v>109</v>
      </c>
      <c r="D32" s="88" t="s">
        <v>110</v>
      </c>
      <c r="E32" s="90">
        <v>2</v>
      </c>
      <c r="F32" s="91" t="s">
        <v>184</v>
      </c>
      <c r="G32" s="92" t="s">
        <v>161</v>
      </c>
      <c r="H32" s="5">
        <f t="shared" si="1"/>
        <v>100</v>
      </c>
      <c r="I32" s="95">
        <v>2.5999999999999999E-2</v>
      </c>
      <c r="J32" s="95">
        <v>5.0000000000000001E-3</v>
      </c>
      <c r="K32" s="6">
        <f t="shared" si="2"/>
        <v>6.2E-2</v>
      </c>
      <c r="L32" s="6">
        <f t="shared" si="4"/>
        <v>6.2E-2</v>
      </c>
      <c r="M32" s="6">
        <f>IFERROR((I32+J32)*INDEX([1]Sheet1!$A$1:$A$13,MATCH((I32+J32),[1]Sheet1!$B$1:$B$13)),0)</f>
        <v>7.75</v>
      </c>
      <c r="N32" s="1" t="s">
        <v>347</v>
      </c>
      <c r="O32" s="96" t="s">
        <v>222</v>
      </c>
      <c r="S32" s="1" t="str">
        <f t="shared" si="3"/>
        <v/>
      </c>
    </row>
    <row r="33" spans="1:19" ht="18" customHeight="1" x14ac:dyDescent="0.2">
      <c r="A33" s="87">
        <v>30</v>
      </c>
      <c r="B33" s="88" t="s">
        <v>189</v>
      </c>
      <c r="C33" s="88" t="s">
        <v>109</v>
      </c>
      <c r="D33" s="88" t="s">
        <v>111</v>
      </c>
      <c r="E33" s="90">
        <v>1</v>
      </c>
      <c r="F33" s="91" t="s">
        <v>184</v>
      </c>
      <c r="G33" s="92" t="s">
        <v>162</v>
      </c>
      <c r="H33" s="5">
        <f t="shared" si="1"/>
        <v>50</v>
      </c>
      <c r="I33" s="95">
        <v>2.9000000000000001E-2</v>
      </c>
      <c r="J33" s="95">
        <v>6.0000000000000001E-3</v>
      </c>
      <c r="K33" s="6">
        <f t="shared" si="2"/>
        <v>3.5000000000000003E-2</v>
      </c>
      <c r="L33" s="6">
        <f t="shared" si="4"/>
        <v>0.05</v>
      </c>
      <c r="M33" s="6">
        <f>IFERROR((I33+J33)*INDEX([1]Sheet1!$A$1:$A$13,MATCH((I33+J33),[1]Sheet1!$B$1:$B$13)),0)</f>
        <v>8.75</v>
      </c>
      <c r="N33" s="1" t="s">
        <v>347</v>
      </c>
      <c r="O33" s="96" t="s">
        <v>222</v>
      </c>
      <c r="S33" s="1" t="str">
        <f t="shared" si="3"/>
        <v/>
      </c>
    </row>
    <row r="34" spans="1:19" ht="28.5" x14ac:dyDescent="0.2">
      <c r="A34" s="87">
        <v>35</v>
      </c>
      <c r="B34" s="88" t="s">
        <v>190</v>
      </c>
      <c r="C34" s="88" t="s">
        <v>112</v>
      </c>
      <c r="D34" s="88" t="s">
        <v>113</v>
      </c>
      <c r="E34" s="90">
        <v>2</v>
      </c>
      <c r="F34" s="91" t="s">
        <v>184</v>
      </c>
      <c r="G34" s="92" t="s">
        <v>163</v>
      </c>
      <c r="H34" s="5">
        <f t="shared" si="1"/>
        <v>100</v>
      </c>
      <c r="I34" s="95">
        <v>8.3000000000000004E-2</v>
      </c>
      <c r="J34" s="95">
        <v>2.5000000000000001E-2</v>
      </c>
      <c r="K34" s="6">
        <f t="shared" si="2"/>
        <v>0.21600000000000003</v>
      </c>
      <c r="L34" s="6">
        <f t="shared" si="4"/>
        <v>0.21600000000000003</v>
      </c>
      <c r="M34" s="6">
        <f>IFERROR((I34+J34)*INDEX([1]Sheet1!$A$1:$A$13,MATCH((I34+J34),[1]Sheet1!$B$1:$B$13)),0)</f>
        <v>10.8</v>
      </c>
      <c r="N34" s="1" t="s">
        <v>347</v>
      </c>
      <c r="O34" s="96" t="s">
        <v>223</v>
      </c>
      <c r="S34" s="1" t="str">
        <f t="shared" si="3"/>
        <v/>
      </c>
    </row>
    <row r="35" spans="1:19" ht="18" customHeight="1" x14ac:dyDescent="0.2">
      <c r="A35" s="87">
        <v>40</v>
      </c>
      <c r="B35" s="88" t="s">
        <v>114</v>
      </c>
      <c r="C35" s="88" t="s">
        <v>115</v>
      </c>
      <c r="D35" s="88" t="s">
        <v>116</v>
      </c>
      <c r="E35" s="90">
        <v>3</v>
      </c>
      <c r="F35" s="91" t="s">
        <v>184</v>
      </c>
      <c r="G35" s="92" t="s">
        <v>164</v>
      </c>
      <c r="H35" s="5">
        <f t="shared" si="1"/>
        <v>150</v>
      </c>
      <c r="I35" s="95">
        <v>0.13800000000000001</v>
      </c>
      <c r="J35" s="95">
        <v>4.1000000000000002E-2</v>
      </c>
      <c r="K35" s="6">
        <f t="shared" si="2"/>
        <v>0.53700000000000003</v>
      </c>
      <c r="L35" s="6">
        <f t="shared" si="4"/>
        <v>0.53700000000000003</v>
      </c>
      <c r="M35" s="6">
        <f>IFERROR((I35+J35)*INDEX([1]Sheet1!$A$1:$A$13,MATCH((I35+J35),[1]Sheet1!$B$1:$B$13)),0)</f>
        <v>6.2650000000000006</v>
      </c>
      <c r="N35" s="1" t="s">
        <v>347</v>
      </c>
      <c r="O35" s="96" t="s">
        <v>224</v>
      </c>
      <c r="S35" s="1" t="str">
        <f t="shared" si="3"/>
        <v/>
      </c>
    </row>
    <row r="36" spans="1:19" ht="18" customHeight="1" x14ac:dyDescent="0.2">
      <c r="A36" s="87">
        <v>45</v>
      </c>
      <c r="B36" s="88" t="s">
        <v>117</v>
      </c>
      <c r="C36" s="88" t="s">
        <v>118</v>
      </c>
      <c r="D36" s="88" t="s">
        <v>119</v>
      </c>
      <c r="E36" s="90">
        <v>1</v>
      </c>
      <c r="F36" s="91" t="s">
        <v>184</v>
      </c>
      <c r="G36" s="92" t="s">
        <v>165</v>
      </c>
      <c r="H36" s="5">
        <f t="shared" si="1"/>
        <v>50</v>
      </c>
      <c r="I36" s="95">
        <v>0.05</v>
      </c>
      <c r="J36" s="95">
        <v>1.4999999999999999E-2</v>
      </c>
      <c r="K36" s="6">
        <f t="shared" si="2"/>
        <v>6.5000000000000002E-2</v>
      </c>
      <c r="L36" s="6">
        <f t="shared" si="4"/>
        <v>6.5000000000000002E-2</v>
      </c>
      <c r="M36" s="6">
        <f>IFERROR((I36+J36)*INDEX([1]Sheet1!$A$1:$A$13,MATCH((I36+J36),[1]Sheet1!$B$1:$B$13)),0)</f>
        <v>9.75</v>
      </c>
      <c r="N36" s="1" t="s">
        <v>347</v>
      </c>
      <c r="O36" s="96" t="s">
        <v>222</v>
      </c>
      <c r="S36" s="1" t="str">
        <f t="shared" si="3"/>
        <v/>
      </c>
    </row>
    <row r="37" spans="1:19" ht="18" customHeight="1" x14ac:dyDescent="0.2">
      <c r="A37" s="87">
        <v>50</v>
      </c>
      <c r="B37" s="88" t="s">
        <v>120</v>
      </c>
      <c r="C37" s="88" t="s">
        <v>109</v>
      </c>
      <c r="D37" s="88" t="s">
        <v>121</v>
      </c>
      <c r="E37" s="90">
        <v>1</v>
      </c>
      <c r="F37" s="91" t="s">
        <v>184</v>
      </c>
      <c r="G37" s="92" t="s">
        <v>166</v>
      </c>
      <c r="H37" s="5">
        <f t="shared" si="1"/>
        <v>50</v>
      </c>
      <c r="I37" s="95">
        <v>2.9000000000000001E-2</v>
      </c>
      <c r="J37" s="95">
        <v>6.0000000000000001E-3</v>
      </c>
      <c r="K37" s="6">
        <f t="shared" si="2"/>
        <v>3.5000000000000003E-2</v>
      </c>
      <c r="L37" s="6">
        <f t="shared" si="4"/>
        <v>0.05</v>
      </c>
      <c r="M37" s="6">
        <f>IFERROR((I37+J37)*INDEX([1]Sheet1!$A$1:$A$13,MATCH((I37+J37),[1]Sheet1!$B$1:$B$13)),0)</f>
        <v>8.75</v>
      </c>
      <c r="N37" s="1" t="s">
        <v>347</v>
      </c>
      <c r="O37" s="96" t="s">
        <v>222</v>
      </c>
      <c r="S37" s="1" t="str">
        <f t="shared" si="3"/>
        <v/>
      </c>
    </row>
    <row r="38" spans="1:19" ht="18" customHeight="1" x14ac:dyDescent="0.2">
      <c r="A38" s="87">
        <v>55</v>
      </c>
      <c r="B38" s="89" t="s">
        <v>191</v>
      </c>
      <c r="C38" s="88" t="s">
        <v>122</v>
      </c>
      <c r="D38" s="88" t="s">
        <v>123</v>
      </c>
      <c r="E38" s="90">
        <v>1</v>
      </c>
      <c r="F38" s="91" t="s">
        <v>184</v>
      </c>
      <c r="G38" s="92" t="s">
        <v>167</v>
      </c>
      <c r="H38" s="5">
        <f t="shared" si="1"/>
        <v>50</v>
      </c>
      <c r="I38" s="95">
        <v>0.17299999999999999</v>
      </c>
      <c r="J38" s="95">
        <v>3.1E-2</v>
      </c>
      <c r="K38" s="6">
        <f t="shared" si="2"/>
        <v>0.20399999999999999</v>
      </c>
      <c r="L38" s="6">
        <f t="shared" si="4"/>
        <v>0.20399999999999999</v>
      </c>
      <c r="M38" s="6">
        <f>IFERROR((I38+J38)*INDEX([1]Sheet1!$A$1:$A$13,MATCH((I38+J38),[1]Sheet1!$B$1:$B$13)),0)</f>
        <v>7.14</v>
      </c>
      <c r="N38" s="1" t="s">
        <v>349</v>
      </c>
      <c r="O38" s="96" t="s">
        <v>223</v>
      </c>
      <c r="S38" s="1" t="str">
        <f t="shared" si="3"/>
        <v/>
      </c>
    </row>
    <row r="39" spans="1:19" ht="18" customHeight="1" x14ac:dyDescent="0.2">
      <c r="A39" s="87">
        <v>60</v>
      </c>
      <c r="B39" s="88" t="s">
        <v>192</v>
      </c>
      <c r="C39" s="88" t="s">
        <v>124</v>
      </c>
      <c r="D39" s="88" t="s">
        <v>125</v>
      </c>
      <c r="E39" s="90">
        <v>1</v>
      </c>
      <c r="F39" s="91" t="s">
        <v>184</v>
      </c>
      <c r="G39" s="92" t="s">
        <v>168</v>
      </c>
      <c r="H39" s="5">
        <f t="shared" si="1"/>
        <v>50</v>
      </c>
      <c r="I39" s="95">
        <v>1.52</v>
      </c>
      <c r="J39" s="95">
        <v>0.152</v>
      </c>
      <c r="K39" s="6">
        <f t="shared" si="2"/>
        <v>1.6719999999999999</v>
      </c>
      <c r="L39" s="6">
        <f t="shared" si="4"/>
        <v>1.6719999999999999</v>
      </c>
      <c r="M39" s="6">
        <f>IFERROR((I39+J39)*INDEX([1]Sheet1!$A$1:$A$13,MATCH((I39+J39),[1]Sheet1!$B$1:$B$13)),0)</f>
        <v>8.36</v>
      </c>
      <c r="N39" s="1" t="s">
        <v>347</v>
      </c>
      <c r="O39" s="96" t="s">
        <v>224</v>
      </c>
      <c r="S39" s="1" t="str">
        <f t="shared" si="3"/>
        <v/>
      </c>
    </row>
    <row r="40" spans="1:19" ht="28.5" x14ac:dyDescent="0.2">
      <c r="A40" s="87">
        <v>65</v>
      </c>
      <c r="B40" s="88" t="s">
        <v>193</v>
      </c>
      <c r="C40" s="88" t="s">
        <v>126</v>
      </c>
      <c r="D40" s="88" t="s">
        <v>127</v>
      </c>
      <c r="E40" s="90">
        <v>1</v>
      </c>
      <c r="F40" s="91" t="s">
        <v>184</v>
      </c>
      <c r="G40" s="92" t="s">
        <v>169</v>
      </c>
      <c r="H40" s="5">
        <f t="shared" si="1"/>
        <v>50</v>
      </c>
      <c r="I40" s="95">
        <v>0.33500000000000002</v>
      </c>
      <c r="J40" s="95">
        <v>0.10100000000000001</v>
      </c>
      <c r="K40" s="6">
        <f t="shared" si="2"/>
        <v>0.43600000000000005</v>
      </c>
      <c r="L40" s="6">
        <f t="shared" si="4"/>
        <v>0.43600000000000005</v>
      </c>
      <c r="M40" s="6">
        <f>IFERROR((I40+J40)*INDEX([1]Sheet1!$A$1:$A$13,MATCH((I40+J40),[1]Sheet1!$B$1:$B$13)),0)</f>
        <v>6.5400000000000009</v>
      </c>
      <c r="N40" s="1" t="s">
        <v>347</v>
      </c>
      <c r="O40" s="96" t="s">
        <v>223</v>
      </c>
      <c r="S40" s="1" t="str">
        <f t="shared" si="3"/>
        <v/>
      </c>
    </row>
    <row r="41" spans="1:19" ht="18" customHeight="1" x14ac:dyDescent="0.2">
      <c r="A41" s="87">
        <v>70</v>
      </c>
      <c r="B41" s="88" t="s">
        <v>128</v>
      </c>
      <c r="C41" s="88" t="s">
        <v>109</v>
      </c>
      <c r="D41" s="88" t="s">
        <v>129</v>
      </c>
      <c r="E41" s="90">
        <v>1</v>
      </c>
      <c r="F41" s="91" t="s">
        <v>184</v>
      </c>
      <c r="G41" s="92" t="s">
        <v>170</v>
      </c>
      <c r="H41" s="5">
        <f t="shared" si="1"/>
        <v>50</v>
      </c>
      <c r="I41" s="95">
        <v>2.9000000000000001E-2</v>
      </c>
      <c r="J41" s="95">
        <v>6.0000000000000001E-3</v>
      </c>
      <c r="K41" s="6">
        <f t="shared" si="2"/>
        <v>3.5000000000000003E-2</v>
      </c>
      <c r="L41" s="6">
        <f t="shared" si="4"/>
        <v>0.05</v>
      </c>
      <c r="M41" s="6">
        <f>IFERROR((I41+J41)*INDEX([1]Sheet1!$A$1:$A$13,MATCH((I41+J41),[1]Sheet1!$B$1:$B$13)),0)</f>
        <v>8.75</v>
      </c>
      <c r="N41" s="1" t="s">
        <v>347</v>
      </c>
      <c r="O41" s="96" t="s">
        <v>222</v>
      </c>
      <c r="S41" s="1" t="str">
        <f t="shared" si="3"/>
        <v/>
      </c>
    </row>
    <row r="42" spans="1:19" ht="18" customHeight="1" x14ac:dyDescent="0.2">
      <c r="A42" s="105">
        <v>75</v>
      </c>
      <c r="B42" s="88" t="s">
        <v>194</v>
      </c>
      <c r="C42" s="88" t="s">
        <v>112</v>
      </c>
      <c r="D42" s="88" t="s">
        <v>130</v>
      </c>
      <c r="E42" s="90">
        <v>1</v>
      </c>
      <c r="F42" s="91" t="s">
        <v>184</v>
      </c>
      <c r="G42" s="92" t="s">
        <v>171</v>
      </c>
      <c r="H42" s="5">
        <f t="shared" si="1"/>
        <v>50</v>
      </c>
      <c r="I42" s="6">
        <v>0.9</v>
      </c>
      <c r="J42" s="5"/>
      <c r="K42" s="6">
        <f t="shared" si="2"/>
        <v>0.9</v>
      </c>
      <c r="L42" s="6">
        <f t="shared" si="4"/>
        <v>0.9</v>
      </c>
      <c r="M42" s="6">
        <f>IFERROR((I42+J42)*INDEX([1]Sheet1!$A$1:$A$13,MATCH((I42+J42),[1]Sheet1!$B$1:$B$13)),0)</f>
        <v>9</v>
      </c>
      <c r="N42" s="1" t="s">
        <v>354</v>
      </c>
      <c r="O42" s="96" t="s">
        <v>222</v>
      </c>
      <c r="S42" s="1" t="str">
        <f t="shared" si="3"/>
        <v/>
      </c>
    </row>
    <row r="43" spans="1:19" ht="18" customHeight="1" x14ac:dyDescent="0.2">
      <c r="A43" s="105">
        <v>75</v>
      </c>
      <c r="B43" s="88" t="s">
        <v>99</v>
      </c>
      <c r="C43" s="88" t="s">
        <v>131</v>
      </c>
      <c r="D43" s="88" t="s">
        <v>132</v>
      </c>
      <c r="E43" s="90"/>
      <c r="F43" s="91"/>
      <c r="G43" s="92"/>
      <c r="H43" s="5">
        <f t="shared" si="1"/>
        <v>0</v>
      </c>
      <c r="I43" s="6"/>
      <c r="J43" s="5"/>
      <c r="K43" s="6">
        <f t="shared" si="2"/>
        <v>0</v>
      </c>
      <c r="L43" s="6">
        <f t="shared" si="4"/>
        <v>0</v>
      </c>
      <c r="M43" s="6">
        <f>IFERROR((I43+J43)*INDEX([1]Sheet1!$A$1:$A$13,MATCH((I43+J43),[1]Sheet1!$B$1:$B$13)),0)</f>
        <v>0</v>
      </c>
      <c r="N43" s="1" t="s">
        <v>355</v>
      </c>
      <c r="O43" s="96" t="s">
        <v>221</v>
      </c>
      <c r="S43" s="1" t="str">
        <f t="shared" si="3"/>
        <v/>
      </c>
    </row>
    <row r="44" spans="1:19" ht="18" customHeight="1" x14ac:dyDescent="0.25">
      <c r="A44" s="105">
        <v>80</v>
      </c>
      <c r="B44" s="88" t="s">
        <v>133</v>
      </c>
      <c r="C44" s="88" t="s">
        <v>104</v>
      </c>
      <c r="D44" s="88" t="s">
        <v>134</v>
      </c>
      <c r="E44" s="90">
        <v>1</v>
      </c>
      <c r="F44" s="91" t="s">
        <v>184</v>
      </c>
      <c r="G44" s="92" t="s">
        <v>172</v>
      </c>
      <c r="H44" s="5">
        <f t="shared" si="1"/>
        <v>50</v>
      </c>
      <c r="I44" s="6">
        <v>1.43</v>
      </c>
      <c r="J44" s="5"/>
      <c r="K44" s="6">
        <f t="shared" si="2"/>
        <v>1.43</v>
      </c>
      <c r="L44" s="6">
        <f t="shared" si="4"/>
        <v>1.43</v>
      </c>
      <c r="M44" s="6">
        <f>IFERROR((I44+J44)*INDEX([1]Sheet1!$A$1:$A$13,MATCH((I44+J44),[1]Sheet1!$B$1:$B$13)),0)</f>
        <v>7.1499999999999995</v>
      </c>
      <c r="N44" s="1" t="s">
        <v>357</v>
      </c>
      <c r="O44" s="96" t="s">
        <v>221</v>
      </c>
      <c r="S44" s="1" t="str">
        <f t="shared" si="3"/>
        <v/>
      </c>
    </row>
    <row r="45" spans="1:19" ht="18" customHeight="1" x14ac:dyDescent="0.2">
      <c r="A45" s="87">
        <v>85</v>
      </c>
      <c r="B45" s="88" t="s">
        <v>135</v>
      </c>
      <c r="C45" s="88" t="s">
        <v>136</v>
      </c>
      <c r="D45" s="88" t="s">
        <v>137</v>
      </c>
      <c r="E45" s="90">
        <v>2</v>
      </c>
      <c r="F45" s="91" t="s">
        <v>184</v>
      </c>
      <c r="G45" s="92" t="s">
        <v>173</v>
      </c>
      <c r="H45" s="5">
        <f t="shared" si="1"/>
        <v>100</v>
      </c>
      <c r="I45" s="95">
        <v>1.2E-2</v>
      </c>
      <c r="J45" s="95">
        <v>2E-3</v>
      </c>
      <c r="K45" s="6">
        <f t="shared" si="2"/>
        <v>2.8000000000000001E-2</v>
      </c>
      <c r="L45" s="6">
        <f t="shared" si="4"/>
        <v>0.05</v>
      </c>
      <c r="M45" s="6">
        <f>IFERROR((I45+J45)*INDEX([1]Sheet1!$A$1:$A$13,MATCH((I45+J45),[1]Sheet1!$B$1:$B$13)),0)</f>
        <v>3.5</v>
      </c>
      <c r="N45" s="1" t="s">
        <v>347</v>
      </c>
      <c r="O45" s="96" t="s">
        <v>224</v>
      </c>
      <c r="S45" s="1" t="str">
        <f t="shared" si="3"/>
        <v/>
      </c>
    </row>
    <row r="46" spans="1:19" ht="18" customHeight="1" x14ac:dyDescent="0.2">
      <c r="A46" s="87">
        <v>90</v>
      </c>
      <c r="B46" s="88" t="s">
        <v>138</v>
      </c>
      <c r="C46" s="88" t="s">
        <v>109</v>
      </c>
      <c r="D46" s="88" t="s">
        <v>139</v>
      </c>
      <c r="E46" s="90">
        <v>2</v>
      </c>
      <c r="F46" s="91" t="s">
        <v>184</v>
      </c>
      <c r="G46" s="92" t="s">
        <v>174</v>
      </c>
      <c r="H46" s="5">
        <f t="shared" si="1"/>
        <v>100</v>
      </c>
      <c r="I46" s="95">
        <v>2.5999999999999999E-2</v>
      </c>
      <c r="J46" s="95">
        <v>5.0000000000000001E-3</v>
      </c>
      <c r="K46" s="6">
        <f t="shared" si="2"/>
        <v>6.2E-2</v>
      </c>
      <c r="L46" s="6">
        <f t="shared" si="4"/>
        <v>6.2E-2</v>
      </c>
      <c r="M46" s="6">
        <f>IFERROR((I46+J46)*INDEX([1]Sheet1!$A$1:$A$13,MATCH((I46+J46),[1]Sheet1!$B$1:$B$13)),0)</f>
        <v>7.75</v>
      </c>
      <c r="N46" s="1" t="s">
        <v>347</v>
      </c>
      <c r="O46" s="96" t="s">
        <v>222</v>
      </c>
      <c r="S46" s="1" t="str">
        <f t="shared" si="3"/>
        <v/>
      </c>
    </row>
    <row r="47" spans="1:19" ht="18" customHeight="1" x14ac:dyDescent="0.2">
      <c r="A47" s="87">
        <v>95</v>
      </c>
      <c r="B47" s="88" t="s">
        <v>195</v>
      </c>
      <c r="C47" s="88" t="s">
        <v>140</v>
      </c>
      <c r="D47" s="88" t="s">
        <v>141</v>
      </c>
      <c r="E47" s="90">
        <v>1</v>
      </c>
      <c r="F47" s="91" t="s">
        <v>184</v>
      </c>
      <c r="G47" s="92" t="s">
        <v>175</v>
      </c>
      <c r="H47" s="5">
        <f t="shared" si="1"/>
        <v>50</v>
      </c>
      <c r="I47" s="95">
        <v>1.248</v>
      </c>
      <c r="J47" s="95">
        <v>0.31</v>
      </c>
      <c r="K47" s="6">
        <f t="shared" si="2"/>
        <v>1.5580000000000001</v>
      </c>
      <c r="L47" s="6">
        <f t="shared" si="4"/>
        <v>1.5580000000000001</v>
      </c>
      <c r="M47" s="6">
        <f>IFERROR((I47+J47)*INDEX([1]Sheet1!$A$1:$A$13,MATCH((I47+J47),[1]Sheet1!$B$1:$B$13)),0)</f>
        <v>7.79</v>
      </c>
      <c r="N47" s="1" t="s">
        <v>351</v>
      </c>
      <c r="O47" s="96" t="s">
        <v>225</v>
      </c>
      <c r="S47" s="1" t="str">
        <f t="shared" si="3"/>
        <v/>
      </c>
    </row>
    <row r="48" spans="1:19" ht="18" customHeight="1" x14ac:dyDescent="0.2">
      <c r="A48" s="87">
        <v>100</v>
      </c>
      <c r="B48" s="88" t="s">
        <v>196</v>
      </c>
      <c r="C48" s="88" t="s">
        <v>142</v>
      </c>
      <c r="D48" s="88" t="s">
        <v>143</v>
      </c>
      <c r="E48" s="90">
        <v>1</v>
      </c>
      <c r="F48" s="91" t="s">
        <v>184</v>
      </c>
      <c r="G48" s="92" t="s">
        <v>176</v>
      </c>
      <c r="H48" s="5">
        <f t="shared" si="1"/>
        <v>50</v>
      </c>
      <c r="I48" s="95">
        <v>1.1200000000000001</v>
      </c>
      <c r="J48" s="95">
        <v>0.112</v>
      </c>
      <c r="K48" s="6">
        <f t="shared" si="2"/>
        <v>1.2320000000000002</v>
      </c>
      <c r="L48" s="6">
        <f t="shared" si="4"/>
        <v>1.2320000000000002</v>
      </c>
      <c r="M48" s="6">
        <f>IFERROR((I48+J48)*INDEX([1]Sheet1!$A$1:$A$13,MATCH((I48+J48),[1]Sheet1!$B$1:$B$13)),0)</f>
        <v>6.160000000000001</v>
      </c>
      <c r="N48" s="1" t="s">
        <v>347</v>
      </c>
      <c r="O48" s="96" t="s">
        <v>226</v>
      </c>
      <c r="S48" s="1" t="str">
        <f t="shared" si="3"/>
        <v/>
      </c>
    </row>
    <row r="49" spans="1:19" ht="18" customHeight="1" x14ac:dyDescent="0.2">
      <c r="A49" s="87">
        <v>100</v>
      </c>
      <c r="B49" s="88" t="s">
        <v>99</v>
      </c>
      <c r="C49" s="88" t="s">
        <v>118</v>
      </c>
      <c r="D49" s="88" t="s">
        <v>144</v>
      </c>
      <c r="E49" s="90"/>
      <c r="F49" s="91"/>
      <c r="G49" s="92"/>
      <c r="H49" s="5">
        <f t="shared" si="1"/>
        <v>0</v>
      </c>
      <c r="I49" s="6"/>
      <c r="J49" s="5"/>
      <c r="K49" s="6">
        <f t="shared" si="2"/>
        <v>0</v>
      </c>
      <c r="L49" s="6">
        <f t="shared" si="4"/>
        <v>0</v>
      </c>
      <c r="M49" s="6">
        <f>IFERROR((I49+J49)*INDEX([1]Sheet1!$A$1:$A$13,MATCH((I49+J49),[1]Sheet1!$B$1:$B$13)),0)</f>
        <v>0</v>
      </c>
      <c r="O49" s="96" t="s">
        <v>226</v>
      </c>
      <c r="S49" s="1" t="str">
        <f t="shared" si="3"/>
        <v/>
      </c>
    </row>
    <row r="50" spans="1:19" ht="18" customHeight="1" x14ac:dyDescent="0.2">
      <c r="A50" s="97">
        <v>105</v>
      </c>
      <c r="B50" s="106" t="s">
        <v>197</v>
      </c>
      <c r="C50" s="98" t="s">
        <v>122</v>
      </c>
      <c r="D50" s="98" t="s">
        <v>145</v>
      </c>
      <c r="E50" s="99">
        <v>2</v>
      </c>
      <c r="F50" s="100" t="s">
        <v>184</v>
      </c>
      <c r="G50" s="101" t="s">
        <v>177</v>
      </c>
      <c r="H50" s="102">
        <f t="shared" si="1"/>
        <v>100</v>
      </c>
      <c r="I50" s="107">
        <v>0.13600000000000001</v>
      </c>
      <c r="J50" s="107">
        <v>4.1000000000000002E-2</v>
      </c>
      <c r="K50" s="103">
        <f t="shared" si="2"/>
        <v>0.35400000000000004</v>
      </c>
      <c r="L50" s="103">
        <f t="shared" si="4"/>
        <v>0.35400000000000004</v>
      </c>
      <c r="M50" s="103">
        <f>IFERROR((I50+J50)*INDEX([1]Sheet1!$A$1:$A$13,MATCH((I50+J50),[1]Sheet1!$B$1:$B$13)),0)</f>
        <v>6.1950000000000003</v>
      </c>
      <c r="N50" s="104" t="s">
        <v>356</v>
      </c>
      <c r="O50" s="96" t="s">
        <v>222</v>
      </c>
      <c r="S50" s="1" t="str">
        <f t="shared" si="3"/>
        <v/>
      </c>
    </row>
    <row r="51" spans="1:19" ht="71.25" x14ac:dyDescent="0.2">
      <c r="A51" s="87">
        <v>110</v>
      </c>
      <c r="B51" s="89" t="s">
        <v>198</v>
      </c>
      <c r="C51" s="88" t="s">
        <v>104</v>
      </c>
      <c r="D51" s="88" t="s">
        <v>146</v>
      </c>
      <c r="E51" s="90">
        <v>1</v>
      </c>
      <c r="F51" s="91" t="s">
        <v>184</v>
      </c>
      <c r="G51" s="92" t="s">
        <v>178</v>
      </c>
      <c r="H51" s="5">
        <f t="shared" si="1"/>
        <v>50</v>
      </c>
      <c r="I51" s="95">
        <v>8.23</v>
      </c>
      <c r="J51" s="5"/>
      <c r="K51" s="6">
        <f t="shared" si="2"/>
        <v>8.23</v>
      </c>
      <c r="L51" s="6">
        <f t="shared" si="4"/>
        <v>8.23</v>
      </c>
      <c r="M51" s="6">
        <f>IFERROR((I51+J51)*INDEX([1]Sheet1!$A$1:$A$13,MATCH((I51+J51),[1]Sheet1!$B$1:$B$13)),0)</f>
        <v>0</v>
      </c>
      <c r="N51" s="1" t="s">
        <v>347</v>
      </c>
      <c r="O51" s="96" t="s">
        <v>222</v>
      </c>
      <c r="S51" s="1" t="str">
        <f t="shared" si="3"/>
        <v/>
      </c>
    </row>
    <row r="52" spans="1:19" ht="28.5" x14ac:dyDescent="0.2">
      <c r="A52" s="87">
        <v>115</v>
      </c>
      <c r="B52" s="88" t="s">
        <v>199</v>
      </c>
      <c r="C52" s="88" t="s">
        <v>124</v>
      </c>
      <c r="D52" s="88" t="s">
        <v>147</v>
      </c>
      <c r="E52" s="90">
        <v>1</v>
      </c>
      <c r="F52" s="91" t="s">
        <v>184</v>
      </c>
      <c r="G52" s="92" t="s">
        <v>179</v>
      </c>
      <c r="H52" s="5">
        <f t="shared" si="1"/>
        <v>50</v>
      </c>
      <c r="I52" s="95">
        <v>0.312</v>
      </c>
      <c r="J52" s="95">
        <v>3.1E-2</v>
      </c>
      <c r="K52" s="6">
        <f t="shared" si="2"/>
        <v>0.34299999999999997</v>
      </c>
      <c r="L52" s="6">
        <f t="shared" si="4"/>
        <v>0.34299999999999997</v>
      </c>
      <c r="M52" s="6">
        <f>IFERROR((I52+J52)*INDEX([1]Sheet1!$A$1:$A$13,MATCH((I52+J52),[1]Sheet1!$B$1:$B$13)),0)</f>
        <v>6.8599999999999994</v>
      </c>
      <c r="N52" s="1" t="s">
        <v>347</v>
      </c>
      <c r="O52" s="96" t="s">
        <v>222</v>
      </c>
      <c r="S52" s="1" t="str">
        <f t="shared" si="3"/>
        <v/>
      </c>
    </row>
    <row r="53" spans="1:19" ht="42.75" x14ac:dyDescent="0.2">
      <c r="A53" s="87">
        <v>120</v>
      </c>
      <c r="B53" s="88" t="s">
        <v>200</v>
      </c>
      <c r="C53" s="88" t="s">
        <v>148</v>
      </c>
      <c r="D53" s="88" t="s">
        <v>149</v>
      </c>
      <c r="E53" s="90">
        <v>0</v>
      </c>
      <c r="F53" s="91" t="s">
        <v>180</v>
      </c>
      <c r="G53" s="92" t="s">
        <v>180</v>
      </c>
      <c r="H53" s="5">
        <f t="shared" si="1"/>
        <v>0</v>
      </c>
      <c r="I53" s="6"/>
      <c r="J53" s="5"/>
      <c r="K53" s="6">
        <f t="shared" si="2"/>
        <v>0</v>
      </c>
      <c r="L53" s="6">
        <f t="shared" si="4"/>
        <v>0</v>
      </c>
      <c r="M53" s="6">
        <f>IFERROR((I53+J53)*INDEX([1]Sheet1!$A$1:$A$13,MATCH((I53+J53),[1]Sheet1!$B$1:$B$13)),0)</f>
        <v>0</v>
      </c>
      <c r="O53" s="96" t="s">
        <v>222</v>
      </c>
      <c r="S53" s="1" t="str">
        <f t="shared" si="3"/>
        <v/>
      </c>
    </row>
    <row r="54" spans="1:19" ht="18" customHeight="1" x14ac:dyDescent="0.2">
      <c r="A54" s="87">
        <v>130</v>
      </c>
      <c r="B54" s="88" t="s">
        <v>201</v>
      </c>
      <c r="C54" s="88" t="s">
        <v>118</v>
      </c>
      <c r="D54" s="88" t="s">
        <v>150</v>
      </c>
      <c r="E54" s="90">
        <v>1</v>
      </c>
      <c r="F54" s="91" t="s">
        <v>184</v>
      </c>
      <c r="G54" s="92" t="s">
        <v>181</v>
      </c>
      <c r="H54" s="5">
        <f t="shared" si="1"/>
        <v>50</v>
      </c>
      <c r="I54" s="95">
        <v>4.2000000000000003E-2</v>
      </c>
      <c r="J54" s="95">
        <v>1.2999999999999999E-2</v>
      </c>
      <c r="K54" s="6">
        <f t="shared" si="2"/>
        <v>5.5E-2</v>
      </c>
      <c r="L54" s="6">
        <f t="shared" si="4"/>
        <v>5.5E-2</v>
      </c>
      <c r="M54" s="6">
        <f>IFERROR((I54+J54)*INDEX([1]Sheet1!$A$1:$A$13,MATCH((I54+J54),[1]Sheet1!$B$1:$B$13)),0)</f>
        <v>8.25</v>
      </c>
      <c r="N54" s="1" t="s">
        <v>347</v>
      </c>
      <c r="O54" s="96" t="s">
        <v>222</v>
      </c>
      <c r="S54" s="1" t="str">
        <f t="shared" si="3"/>
        <v/>
      </c>
    </row>
    <row r="55" spans="1:19" ht="45" x14ac:dyDescent="0.25">
      <c r="A55" s="87">
        <v>135</v>
      </c>
      <c r="B55" s="88" t="s">
        <v>151</v>
      </c>
      <c r="C55" s="88" t="s">
        <v>152</v>
      </c>
      <c r="D55" s="88" t="s">
        <v>153</v>
      </c>
      <c r="E55" s="90">
        <v>1</v>
      </c>
      <c r="F55" s="91"/>
      <c r="G55" s="92" t="s">
        <v>182</v>
      </c>
      <c r="H55" s="5">
        <f t="shared" si="1"/>
        <v>50</v>
      </c>
      <c r="I55" s="95">
        <v>1.43E-2</v>
      </c>
      <c r="J55" s="5"/>
      <c r="K55" s="6">
        <f t="shared" si="2"/>
        <v>1.43E-2</v>
      </c>
      <c r="L55" s="6">
        <f t="shared" si="4"/>
        <v>0.05</v>
      </c>
      <c r="M55" s="6">
        <f>IFERROR((I55+J55)*INDEX([1]Sheet1!$A$1:$A$13,MATCH((I55+J55),[1]Sheet1!$B$1:$B$13)),0)</f>
        <v>3.5750000000000002</v>
      </c>
      <c r="N55" s="1" t="s">
        <v>350</v>
      </c>
      <c r="O55" s="96" t="s">
        <v>221</v>
      </c>
      <c r="S55" s="1" t="str">
        <f t="shared" si="3"/>
        <v/>
      </c>
    </row>
    <row r="56" spans="1:19" ht="42.75" x14ac:dyDescent="0.2">
      <c r="A56" s="87">
        <v>140</v>
      </c>
      <c r="B56" s="88" t="s">
        <v>154</v>
      </c>
      <c r="C56" s="88" t="s">
        <v>155</v>
      </c>
      <c r="D56" s="88" t="s">
        <v>156</v>
      </c>
      <c r="E56" s="90">
        <v>0</v>
      </c>
      <c r="F56" s="91" t="s">
        <v>180</v>
      </c>
      <c r="G56" s="92" t="s">
        <v>183</v>
      </c>
      <c r="H56" s="5">
        <f t="shared" si="1"/>
        <v>0</v>
      </c>
      <c r="I56" s="6"/>
      <c r="J56" s="6"/>
      <c r="K56" s="6">
        <f t="shared" si="2"/>
        <v>0</v>
      </c>
      <c r="L56" s="6">
        <f t="shared" si="4"/>
        <v>0</v>
      </c>
      <c r="M56" s="6">
        <f>IFERROR((I56+J56)*INDEX([1]Sheet1!$A$1:$A$13,MATCH((I56+J56),[1]Sheet1!$B$1:$B$13)),0)</f>
        <v>0</v>
      </c>
      <c r="S56" s="1" t="str">
        <f t="shared" si="3"/>
        <v/>
      </c>
    </row>
    <row r="57" spans="1:19" ht="18" customHeight="1" thickBot="1" x14ac:dyDescent="0.25">
      <c r="K57" s="2"/>
      <c r="L57" s="2"/>
      <c r="M57" s="2"/>
    </row>
    <row r="58" spans="1:19" ht="18" customHeight="1" x14ac:dyDescent="0.25">
      <c r="I58" s="19"/>
      <c r="J58" s="84"/>
      <c r="K58" s="20" t="s">
        <v>7</v>
      </c>
      <c r="L58" s="21" t="s">
        <v>9</v>
      </c>
      <c r="M58" s="7" t="s">
        <v>19</v>
      </c>
    </row>
    <row r="59" spans="1:19" ht="18" customHeight="1" x14ac:dyDescent="0.25">
      <c r="D59" s="8"/>
      <c r="E59" s="8"/>
      <c r="I59" s="22" t="str">
        <f>CONCATENATE("EA ",H23)</f>
        <v>EA 50</v>
      </c>
      <c r="J59" s="85"/>
      <c r="K59" s="9">
        <f>SUM(K24:K57)</f>
        <v>21.934299999999997</v>
      </c>
      <c r="L59" s="23">
        <f>SUM(L24:L57)</f>
        <v>22.036999999999999</v>
      </c>
      <c r="M59" s="18">
        <f>L59+M63/H23</f>
        <v>25.631599999999999</v>
      </c>
    </row>
    <row r="60" spans="1:19" ht="18" customHeight="1" thickBot="1" x14ac:dyDescent="0.3">
      <c r="D60" s="8"/>
      <c r="E60" s="8"/>
      <c r="I60" s="24" t="str">
        <f>CONCATENATE("EA ",H23,"+")</f>
        <v>EA 50+</v>
      </c>
      <c r="J60" s="86"/>
      <c r="K60" s="25">
        <f>IF(H23&lt;25,1.1,IF(H23&lt;50,1.08,IF(H23&lt;100,1.06,IF(H23&lt;250,1.05,IF(H23&lt;500,1.04,IF(H23&lt;1000,1.03,IF(H23&lt;2500,1.03,IF(H23&lt;5000,1.02,IF(H23&lt;10000,1.015,1.01)))))))))</f>
        <v>1.06</v>
      </c>
      <c r="L60" s="26">
        <f>L59*K60</f>
        <v>23.359220000000001</v>
      </c>
      <c r="M60" s="27">
        <f>1-K59/M59</f>
        <v>0.14424772546388065</v>
      </c>
    </row>
    <row r="61" spans="1:19" ht="18" customHeight="1" x14ac:dyDescent="0.2">
      <c r="D61" s="8"/>
      <c r="E61" s="8"/>
      <c r="K61" s="8" t="s">
        <v>13</v>
      </c>
    </row>
    <row r="63" spans="1:19" ht="18" customHeight="1" x14ac:dyDescent="0.25">
      <c r="L63" s="17" t="s">
        <v>20</v>
      </c>
      <c r="M63" s="2">
        <f>SUM(M24:M56)</f>
        <v>179.72999999999996</v>
      </c>
    </row>
  </sheetData>
  <mergeCells count="1">
    <mergeCell ref="C6:D6"/>
  </mergeCells>
  <pageMargins left="0.25" right="0.25" top="0.75" bottom="0.75" header="0.3" footer="0.3"/>
  <pageSetup scale="2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066E-767B-404F-AB38-B8B118D632CD}">
  <dimension ref="A1:Q33"/>
  <sheetViews>
    <sheetView topLeftCell="A2" workbookViewId="0">
      <selection activeCell="F33" sqref="F33"/>
    </sheetView>
  </sheetViews>
  <sheetFormatPr defaultRowHeight="15" x14ac:dyDescent="0.25"/>
  <cols>
    <col min="2" max="2" width="45.7109375" customWidth="1"/>
    <col min="4" max="4" width="24.28515625" customWidth="1"/>
    <col min="8" max="8" width="14.7109375" bestFit="1" customWidth="1"/>
    <col min="9" max="9" width="23.42578125" bestFit="1" customWidth="1"/>
  </cols>
  <sheetData>
    <row r="1" spans="1:17" x14ac:dyDescent="0.25">
      <c r="A1" s="3" t="s">
        <v>0</v>
      </c>
      <c r="B1" s="1" t="s">
        <v>1</v>
      </c>
      <c r="C1" s="1" t="s">
        <v>2</v>
      </c>
      <c r="D1" s="1" t="s">
        <v>3</v>
      </c>
      <c r="E1" s="12">
        <v>50</v>
      </c>
      <c r="F1" s="13" t="s">
        <v>6</v>
      </c>
      <c r="G1" s="96" t="s">
        <v>240</v>
      </c>
      <c r="H1" s="96" t="s">
        <v>241</v>
      </c>
      <c r="I1" s="96" t="s">
        <v>242</v>
      </c>
      <c r="J1" s="96" t="s">
        <v>243</v>
      </c>
      <c r="K1" s="96" t="s">
        <v>244</v>
      </c>
      <c r="L1" s="96" t="s">
        <v>220</v>
      </c>
      <c r="M1" s="96" t="s">
        <v>245</v>
      </c>
      <c r="N1" s="96" t="s">
        <v>246</v>
      </c>
      <c r="O1" s="96" t="s">
        <v>247</v>
      </c>
      <c r="P1" s="96" t="s">
        <v>248</v>
      </c>
      <c r="Q1" s="96" t="s">
        <v>249</v>
      </c>
    </row>
    <row r="2" spans="1:17" ht="147" x14ac:dyDescent="0.25">
      <c r="A2" s="87">
        <v>5</v>
      </c>
      <c r="B2" s="88" t="s">
        <v>96</v>
      </c>
      <c r="C2" s="88" t="s">
        <v>97</v>
      </c>
      <c r="D2" s="88" t="s">
        <v>98</v>
      </c>
      <c r="E2" s="5">
        <v>50</v>
      </c>
      <c r="F2" s="93"/>
      <c r="G2" s="96" t="s">
        <v>221</v>
      </c>
      <c r="H2" s="1"/>
      <c r="I2" s="96" t="s">
        <v>250</v>
      </c>
      <c r="J2" s="96" t="s">
        <v>251</v>
      </c>
      <c r="K2" s="96" t="s">
        <v>252</v>
      </c>
      <c r="L2" s="96" t="s">
        <v>221</v>
      </c>
      <c r="M2" s="96" t="s">
        <v>253</v>
      </c>
      <c r="N2" s="96" t="s">
        <v>254</v>
      </c>
      <c r="O2" s="96" t="s">
        <v>255</v>
      </c>
      <c r="P2" s="1"/>
      <c r="Q2" s="1"/>
    </row>
    <row r="3" spans="1:17" ht="29.25" x14ac:dyDescent="0.25">
      <c r="A3" s="87">
        <v>5</v>
      </c>
      <c r="B3" s="88" t="s">
        <v>99</v>
      </c>
      <c r="C3" s="88" t="s">
        <v>97</v>
      </c>
      <c r="D3" s="88" t="s">
        <v>100</v>
      </c>
      <c r="E3" s="5">
        <v>50</v>
      </c>
      <c r="F3" s="6"/>
      <c r="G3" s="96" t="s">
        <v>221</v>
      </c>
      <c r="H3" s="1"/>
      <c r="I3" s="96" t="s">
        <v>256</v>
      </c>
      <c r="J3" s="96" t="s">
        <v>257</v>
      </c>
      <c r="K3" s="96" t="s">
        <v>258</v>
      </c>
      <c r="L3" s="96" t="s">
        <v>222</v>
      </c>
      <c r="M3" s="96" t="s">
        <v>253</v>
      </c>
      <c r="N3" s="1"/>
      <c r="O3" s="96" t="s">
        <v>259</v>
      </c>
      <c r="P3" s="1"/>
      <c r="Q3" s="1"/>
    </row>
    <row r="4" spans="1:17" ht="57.75" x14ac:dyDescent="0.25">
      <c r="A4" s="87">
        <v>10</v>
      </c>
      <c r="B4" s="88" t="s">
        <v>185</v>
      </c>
      <c r="C4" s="88" t="s">
        <v>101</v>
      </c>
      <c r="D4" s="88" t="s">
        <v>102</v>
      </c>
      <c r="E4" s="5">
        <v>250</v>
      </c>
      <c r="F4" s="6"/>
      <c r="G4" s="96" t="s">
        <v>221</v>
      </c>
      <c r="H4" s="1"/>
      <c r="I4" s="96" t="s">
        <v>102</v>
      </c>
      <c r="J4" s="96" t="s">
        <v>260</v>
      </c>
      <c r="K4" s="96" t="s">
        <v>261</v>
      </c>
      <c r="L4" s="96" t="s">
        <v>222</v>
      </c>
      <c r="M4" s="96" t="s">
        <v>262</v>
      </c>
      <c r="N4" s="1"/>
      <c r="O4" s="96" t="s">
        <v>255</v>
      </c>
      <c r="P4" s="1"/>
      <c r="Q4" s="1"/>
    </row>
    <row r="5" spans="1:17" ht="57.75" x14ac:dyDescent="0.25">
      <c r="A5" s="87">
        <v>10</v>
      </c>
      <c r="B5" s="88" t="s">
        <v>99</v>
      </c>
      <c r="C5" s="88" t="s">
        <v>101</v>
      </c>
      <c r="D5" s="88" t="s">
        <v>103</v>
      </c>
      <c r="E5" s="5">
        <v>250</v>
      </c>
      <c r="F5" s="93" t="s">
        <v>203</v>
      </c>
      <c r="G5" s="96" t="s">
        <v>263</v>
      </c>
      <c r="H5" s="1"/>
      <c r="I5" s="96" t="s">
        <v>103</v>
      </c>
      <c r="J5" s="96" t="s">
        <v>264</v>
      </c>
      <c r="K5" s="96" t="s">
        <v>261</v>
      </c>
      <c r="L5" s="96" t="s">
        <v>223</v>
      </c>
      <c r="M5" s="96" t="s">
        <v>262</v>
      </c>
      <c r="N5" s="96" t="s">
        <v>203</v>
      </c>
      <c r="O5" s="96" t="s">
        <v>255</v>
      </c>
      <c r="P5" s="96" t="s">
        <v>227</v>
      </c>
      <c r="Q5" s="96" t="s">
        <v>265</v>
      </c>
    </row>
    <row r="6" spans="1:17" ht="29.25" x14ac:dyDescent="0.25">
      <c r="A6" s="87">
        <v>15</v>
      </c>
      <c r="B6" s="88" t="s">
        <v>186</v>
      </c>
      <c r="C6" s="88" t="s">
        <v>104</v>
      </c>
      <c r="D6" s="88" t="s">
        <v>105</v>
      </c>
      <c r="E6" s="5">
        <v>50</v>
      </c>
      <c r="F6" s="6"/>
      <c r="G6" s="96" t="s">
        <v>221</v>
      </c>
      <c r="H6" s="1"/>
      <c r="I6" s="96" t="s">
        <v>105</v>
      </c>
      <c r="J6" s="96" t="s">
        <v>266</v>
      </c>
      <c r="K6" s="96" t="s">
        <v>267</v>
      </c>
      <c r="L6" s="96" t="s">
        <v>222</v>
      </c>
      <c r="M6" s="96" t="s">
        <v>253</v>
      </c>
      <c r="N6" s="1"/>
      <c r="O6" s="96" t="s">
        <v>255</v>
      </c>
      <c r="P6" s="1"/>
      <c r="Q6" s="1"/>
    </row>
    <row r="7" spans="1:17" ht="29.25" x14ac:dyDescent="0.25">
      <c r="A7" s="87">
        <v>15</v>
      </c>
      <c r="B7" s="88" t="s">
        <v>99</v>
      </c>
      <c r="C7" s="88" t="s">
        <v>106</v>
      </c>
      <c r="D7" s="88" t="s">
        <v>107</v>
      </c>
      <c r="E7" s="5">
        <v>50</v>
      </c>
      <c r="F7" s="6"/>
      <c r="G7" s="96" t="s">
        <v>221</v>
      </c>
      <c r="H7" s="1"/>
      <c r="I7" s="96" t="s">
        <v>107</v>
      </c>
      <c r="J7" s="96" t="s">
        <v>268</v>
      </c>
      <c r="K7" s="96" t="s">
        <v>269</v>
      </c>
      <c r="L7" s="96" t="s">
        <v>222</v>
      </c>
      <c r="M7" s="96" t="s">
        <v>253</v>
      </c>
      <c r="N7" s="1"/>
      <c r="O7" s="96" t="s">
        <v>255</v>
      </c>
      <c r="P7" s="1"/>
      <c r="Q7" s="1"/>
    </row>
    <row r="8" spans="1:17" ht="29.25" x14ac:dyDescent="0.25">
      <c r="A8" s="87">
        <v>20</v>
      </c>
      <c r="B8" s="88" t="s">
        <v>187</v>
      </c>
      <c r="C8" s="88" t="s">
        <v>104</v>
      </c>
      <c r="D8" s="88" t="s">
        <v>108</v>
      </c>
      <c r="E8" s="5">
        <v>50</v>
      </c>
      <c r="F8" s="94" t="s">
        <v>204</v>
      </c>
      <c r="G8" s="96" t="s">
        <v>270</v>
      </c>
      <c r="H8" s="1"/>
      <c r="I8" s="96" t="s">
        <v>108</v>
      </c>
      <c r="J8" s="96" t="s">
        <v>271</v>
      </c>
      <c r="K8" s="96" t="s">
        <v>267</v>
      </c>
      <c r="L8" s="96" t="s">
        <v>222</v>
      </c>
      <c r="M8" s="96" t="s">
        <v>253</v>
      </c>
      <c r="N8" s="96" t="s">
        <v>204</v>
      </c>
      <c r="O8" s="96" t="s">
        <v>255</v>
      </c>
      <c r="P8" s="96" t="s">
        <v>228</v>
      </c>
      <c r="Q8" s="96" t="s">
        <v>272</v>
      </c>
    </row>
    <row r="9" spans="1:17" x14ac:dyDescent="0.25">
      <c r="A9" s="87">
        <v>25</v>
      </c>
      <c r="B9" s="88" t="s">
        <v>188</v>
      </c>
      <c r="C9" s="88" t="s">
        <v>109</v>
      </c>
      <c r="D9" s="88" t="s">
        <v>110</v>
      </c>
      <c r="E9" s="5">
        <v>100</v>
      </c>
      <c r="F9" s="93" t="s">
        <v>205</v>
      </c>
      <c r="G9" s="96" t="s">
        <v>273</v>
      </c>
      <c r="H9" s="1"/>
      <c r="I9" s="96" t="s">
        <v>110</v>
      </c>
      <c r="J9" s="96" t="s">
        <v>274</v>
      </c>
      <c r="K9" s="96" t="s">
        <v>109</v>
      </c>
      <c r="L9" s="96" t="s">
        <v>222</v>
      </c>
      <c r="M9" s="96" t="s">
        <v>275</v>
      </c>
      <c r="N9" s="96" t="s">
        <v>205</v>
      </c>
      <c r="O9" s="96" t="s">
        <v>255</v>
      </c>
      <c r="P9" s="96" t="s">
        <v>229</v>
      </c>
      <c r="Q9" s="96" t="s">
        <v>276</v>
      </c>
    </row>
    <row r="10" spans="1:17" x14ac:dyDescent="0.25">
      <c r="A10" s="87">
        <v>30</v>
      </c>
      <c r="B10" s="88" t="s">
        <v>189</v>
      </c>
      <c r="C10" s="88" t="s">
        <v>109</v>
      </c>
      <c r="D10" s="88" t="s">
        <v>111</v>
      </c>
      <c r="E10" s="5">
        <v>50</v>
      </c>
      <c r="F10" s="93" t="s">
        <v>206</v>
      </c>
      <c r="G10" s="96" t="s">
        <v>277</v>
      </c>
      <c r="H10" s="1"/>
      <c r="I10" s="96" t="s">
        <v>111</v>
      </c>
      <c r="J10" s="96" t="s">
        <v>278</v>
      </c>
      <c r="K10" s="96" t="s">
        <v>109</v>
      </c>
      <c r="L10" s="96" t="s">
        <v>222</v>
      </c>
      <c r="M10" s="96" t="s">
        <v>253</v>
      </c>
      <c r="N10" s="96" t="s">
        <v>206</v>
      </c>
      <c r="O10" s="96" t="s">
        <v>255</v>
      </c>
      <c r="P10" s="96" t="s">
        <v>230</v>
      </c>
      <c r="Q10" s="96" t="s">
        <v>279</v>
      </c>
    </row>
    <row r="11" spans="1:17" ht="29.25" x14ac:dyDescent="0.25">
      <c r="A11" s="87">
        <v>35</v>
      </c>
      <c r="B11" s="88" t="s">
        <v>190</v>
      </c>
      <c r="C11" s="88" t="s">
        <v>112</v>
      </c>
      <c r="D11" s="88" t="s">
        <v>113</v>
      </c>
      <c r="E11" s="5">
        <v>100</v>
      </c>
      <c r="F11" s="93" t="s">
        <v>207</v>
      </c>
      <c r="G11" s="96" t="s">
        <v>280</v>
      </c>
      <c r="H11" s="1"/>
      <c r="I11" s="96" t="s">
        <v>113</v>
      </c>
      <c r="J11" s="96" t="s">
        <v>281</v>
      </c>
      <c r="K11" s="96" t="s">
        <v>282</v>
      </c>
      <c r="L11" s="96" t="s">
        <v>223</v>
      </c>
      <c r="M11" s="96" t="s">
        <v>275</v>
      </c>
      <c r="N11" s="96" t="s">
        <v>207</v>
      </c>
      <c r="O11" s="96" t="s">
        <v>255</v>
      </c>
      <c r="P11" s="96" t="s">
        <v>231</v>
      </c>
      <c r="Q11" s="96" t="s">
        <v>283</v>
      </c>
    </row>
    <row r="12" spans="1:17" x14ac:dyDescent="0.25">
      <c r="A12" s="87">
        <v>40</v>
      </c>
      <c r="B12" s="88" t="s">
        <v>114</v>
      </c>
      <c r="C12" s="88" t="s">
        <v>115</v>
      </c>
      <c r="D12" s="88" t="s">
        <v>116</v>
      </c>
      <c r="E12" s="5">
        <v>150</v>
      </c>
      <c r="F12" s="93" t="s">
        <v>208</v>
      </c>
      <c r="G12" s="96" t="s">
        <v>284</v>
      </c>
      <c r="H12" s="1"/>
      <c r="I12" s="96" t="s">
        <v>116</v>
      </c>
      <c r="J12" s="96" t="s">
        <v>285</v>
      </c>
      <c r="K12" s="96" t="s">
        <v>286</v>
      </c>
      <c r="L12" s="96" t="s">
        <v>224</v>
      </c>
      <c r="M12" s="96" t="s">
        <v>287</v>
      </c>
      <c r="N12" s="96" t="s">
        <v>208</v>
      </c>
      <c r="O12" s="96" t="s">
        <v>255</v>
      </c>
      <c r="P12" s="96" t="s">
        <v>228</v>
      </c>
      <c r="Q12" s="96" t="s">
        <v>288</v>
      </c>
    </row>
    <row r="13" spans="1:17" x14ac:dyDescent="0.25">
      <c r="A13" s="87">
        <v>45</v>
      </c>
      <c r="B13" s="88" t="s">
        <v>117</v>
      </c>
      <c r="C13" s="88" t="s">
        <v>118</v>
      </c>
      <c r="D13" s="88" t="s">
        <v>119</v>
      </c>
      <c r="E13" s="5">
        <v>50</v>
      </c>
      <c r="F13" s="93" t="s">
        <v>209</v>
      </c>
      <c r="G13" s="96" t="s">
        <v>289</v>
      </c>
      <c r="H13" s="1"/>
      <c r="I13" s="96" t="s">
        <v>119</v>
      </c>
      <c r="J13" s="96" t="s">
        <v>290</v>
      </c>
      <c r="K13" s="96" t="s">
        <v>291</v>
      </c>
      <c r="L13" s="96" t="s">
        <v>222</v>
      </c>
      <c r="M13" s="96" t="s">
        <v>253</v>
      </c>
      <c r="N13" s="96" t="s">
        <v>209</v>
      </c>
      <c r="O13" s="96" t="s">
        <v>255</v>
      </c>
      <c r="P13" s="96" t="s">
        <v>232</v>
      </c>
      <c r="Q13" s="96" t="s">
        <v>292</v>
      </c>
    </row>
    <row r="14" spans="1:17" x14ac:dyDescent="0.25">
      <c r="A14" s="87">
        <v>50</v>
      </c>
      <c r="B14" s="88" t="s">
        <v>120</v>
      </c>
      <c r="C14" s="88" t="s">
        <v>109</v>
      </c>
      <c r="D14" s="88" t="s">
        <v>121</v>
      </c>
      <c r="E14" s="5">
        <v>50</v>
      </c>
      <c r="F14" s="93" t="s">
        <v>206</v>
      </c>
      <c r="G14" s="96" t="s">
        <v>293</v>
      </c>
      <c r="H14" s="1"/>
      <c r="I14" s="96" t="s">
        <v>121</v>
      </c>
      <c r="J14" s="96" t="s">
        <v>294</v>
      </c>
      <c r="K14" s="96" t="s">
        <v>109</v>
      </c>
      <c r="L14" s="96" t="s">
        <v>222</v>
      </c>
      <c r="M14" s="96" t="s">
        <v>253</v>
      </c>
      <c r="N14" s="96" t="s">
        <v>206</v>
      </c>
      <c r="O14" s="96" t="s">
        <v>255</v>
      </c>
      <c r="P14" s="96" t="s">
        <v>230</v>
      </c>
      <c r="Q14" s="96" t="s">
        <v>279</v>
      </c>
    </row>
    <row r="15" spans="1:17" ht="43.5" x14ac:dyDescent="0.25">
      <c r="A15" s="87">
        <v>55</v>
      </c>
      <c r="B15" s="89" t="s">
        <v>191</v>
      </c>
      <c r="C15" s="88" t="s">
        <v>122</v>
      </c>
      <c r="D15" s="88" t="s">
        <v>123</v>
      </c>
      <c r="E15" s="5">
        <v>50</v>
      </c>
      <c r="F15" s="94" t="s">
        <v>210</v>
      </c>
      <c r="G15" s="96" t="s">
        <v>295</v>
      </c>
      <c r="H15" s="1"/>
      <c r="I15" s="96" t="s">
        <v>123</v>
      </c>
      <c r="J15" s="96" t="s">
        <v>296</v>
      </c>
      <c r="K15" s="96" t="s">
        <v>297</v>
      </c>
      <c r="L15" s="96" t="s">
        <v>223</v>
      </c>
      <c r="M15" s="96" t="s">
        <v>253</v>
      </c>
      <c r="N15" s="96" t="s">
        <v>210</v>
      </c>
      <c r="O15" s="96" t="s">
        <v>255</v>
      </c>
      <c r="P15" s="96" t="s">
        <v>233</v>
      </c>
      <c r="Q15" s="96" t="s">
        <v>214</v>
      </c>
    </row>
    <row r="16" spans="1:17" ht="29.25" x14ac:dyDescent="0.25">
      <c r="A16" s="87">
        <v>60</v>
      </c>
      <c r="B16" s="88" t="s">
        <v>192</v>
      </c>
      <c r="C16" s="88" t="s">
        <v>124</v>
      </c>
      <c r="D16" s="88" t="s">
        <v>125</v>
      </c>
      <c r="E16" s="5">
        <v>50</v>
      </c>
      <c r="F16" s="93" t="s">
        <v>211</v>
      </c>
      <c r="G16" s="96" t="s">
        <v>298</v>
      </c>
      <c r="H16" s="1"/>
      <c r="I16" s="96" t="s">
        <v>125</v>
      </c>
      <c r="J16" s="96" t="s">
        <v>299</v>
      </c>
      <c r="K16" s="96" t="s">
        <v>300</v>
      </c>
      <c r="L16" s="96" t="s">
        <v>224</v>
      </c>
      <c r="M16" s="96" t="s">
        <v>253</v>
      </c>
      <c r="N16" s="96" t="s">
        <v>211</v>
      </c>
      <c r="O16" s="96" t="s">
        <v>255</v>
      </c>
      <c r="P16" s="96" t="s">
        <v>234</v>
      </c>
      <c r="Q16" s="96" t="s">
        <v>301</v>
      </c>
    </row>
    <row r="17" spans="1:17" ht="29.25" x14ac:dyDescent="0.25">
      <c r="A17" s="87">
        <v>65</v>
      </c>
      <c r="B17" s="88" t="s">
        <v>193</v>
      </c>
      <c r="C17" s="88" t="s">
        <v>126</v>
      </c>
      <c r="D17" s="88" t="s">
        <v>127</v>
      </c>
      <c r="E17" s="5">
        <v>50</v>
      </c>
      <c r="F17" s="93" t="s">
        <v>212</v>
      </c>
      <c r="G17" s="96" t="s">
        <v>302</v>
      </c>
      <c r="H17" s="1"/>
      <c r="I17" s="96" t="s">
        <v>127</v>
      </c>
      <c r="J17" s="96" t="s">
        <v>303</v>
      </c>
      <c r="K17" s="96" t="s">
        <v>304</v>
      </c>
      <c r="L17" s="96" t="s">
        <v>223</v>
      </c>
      <c r="M17" s="96" t="s">
        <v>253</v>
      </c>
      <c r="N17" s="96" t="s">
        <v>212</v>
      </c>
      <c r="O17" s="96" t="s">
        <v>255</v>
      </c>
      <c r="P17" s="96" t="s">
        <v>235</v>
      </c>
      <c r="Q17" s="96" t="s">
        <v>305</v>
      </c>
    </row>
    <row r="18" spans="1:17" x14ac:dyDescent="0.25">
      <c r="A18" s="87">
        <v>70</v>
      </c>
      <c r="B18" s="88" t="s">
        <v>128</v>
      </c>
      <c r="C18" s="88" t="s">
        <v>109</v>
      </c>
      <c r="D18" s="88" t="s">
        <v>129</v>
      </c>
      <c r="E18" s="5">
        <v>50</v>
      </c>
      <c r="F18" s="93" t="s">
        <v>206</v>
      </c>
      <c r="G18" s="96" t="s">
        <v>306</v>
      </c>
      <c r="H18" s="1"/>
      <c r="I18" s="96" t="s">
        <v>129</v>
      </c>
      <c r="J18" s="96" t="s">
        <v>307</v>
      </c>
      <c r="K18" s="96" t="s">
        <v>109</v>
      </c>
      <c r="L18" s="96" t="s">
        <v>222</v>
      </c>
      <c r="M18" s="96" t="s">
        <v>253</v>
      </c>
      <c r="N18" s="96" t="s">
        <v>206</v>
      </c>
      <c r="O18" s="96" t="s">
        <v>255</v>
      </c>
      <c r="P18" s="96" t="s">
        <v>230</v>
      </c>
      <c r="Q18" s="96" t="s">
        <v>279</v>
      </c>
    </row>
    <row r="19" spans="1:17" x14ac:dyDescent="0.25">
      <c r="A19" s="87">
        <v>75</v>
      </c>
      <c r="B19" s="88" t="s">
        <v>194</v>
      </c>
      <c r="C19" s="88" t="s">
        <v>112</v>
      </c>
      <c r="D19" s="88" t="s">
        <v>130</v>
      </c>
      <c r="E19" s="5">
        <v>50</v>
      </c>
      <c r="F19" s="6"/>
      <c r="G19" s="96" t="s">
        <v>221</v>
      </c>
      <c r="H19" s="1"/>
      <c r="I19" s="96" t="s">
        <v>130</v>
      </c>
      <c r="J19" s="96" t="s">
        <v>308</v>
      </c>
      <c r="K19" s="96" t="s">
        <v>291</v>
      </c>
      <c r="L19" s="96" t="s">
        <v>222</v>
      </c>
      <c r="M19" s="96" t="s">
        <v>253</v>
      </c>
      <c r="N19" s="1"/>
      <c r="O19" s="96" t="s">
        <v>255</v>
      </c>
      <c r="P19" s="1"/>
      <c r="Q19" s="1"/>
    </row>
    <row r="20" spans="1:17" ht="43.5" x14ac:dyDescent="0.25">
      <c r="A20" s="87">
        <v>75</v>
      </c>
      <c r="B20" s="88" t="s">
        <v>99</v>
      </c>
      <c r="C20" s="88" t="s">
        <v>131</v>
      </c>
      <c r="D20" s="88" t="s">
        <v>132</v>
      </c>
      <c r="E20" s="5">
        <v>50</v>
      </c>
      <c r="F20" s="6"/>
      <c r="G20" s="96" t="s">
        <v>221</v>
      </c>
      <c r="H20" s="1"/>
      <c r="I20" s="96" t="s">
        <v>132</v>
      </c>
      <c r="J20" s="96" t="s">
        <v>309</v>
      </c>
      <c r="K20" s="96" t="s">
        <v>258</v>
      </c>
      <c r="L20" s="96" t="s">
        <v>221</v>
      </c>
      <c r="M20" s="96" t="s">
        <v>253</v>
      </c>
      <c r="N20" s="1"/>
      <c r="O20" s="96" t="s">
        <v>255</v>
      </c>
      <c r="P20" s="1"/>
      <c r="Q20" s="1"/>
    </row>
    <row r="21" spans="1:17" ht="29.25" x14ac:dyDescent="0.25">
      <c r="A21" s="87">
        <v>80</v>
      </c>
      <c r="B21" s="88" t="s">
        <v>133</v>
      </c>
      <c r="C21" s="88" t="s">
        <v>104</v>
      </c>
      <c r="D21" s="88" t="s">
        <v>134</v>
      </c>
      <c r="E21" s="5">
        <v>50</v>
      </c>
      <c r="F21" s="6"/>
      <c r="G21" s="96" t="s">
        <v>221</v>
      </c>
      <c r="H21" s="1"/>
      <c r="I21" s="96" t="s">
        <v>134</v>
      </c>
      <c r="J21" s="96" t="s">
        <v>310</v>
      </c>
      <c r="K21" s="96" t="s">
        <v>267</v>
      </c>
      <c r="L21" s="96" t="s">
        <v>221</v>
      </c>
      <c r="M21" s="96" t="s">
        <v>253</v>
      </c>
      <c r="N21" s="1"/>
      <c r="O21" s="96" t="s">
        <v>255</v>
      </c>
      <c r="P21" s="1"/>
      <c r="Q21" s="1"/>
    </row>
    <row r="22" spans="1:17" ht="29.25" x14ac:dyDescent="0.25">
      <c r="A22" s="87">
        <v>85</v>
      </c>
      <c r="B22" s="88" t="s">
        <v>135</v>
      </c>
      <c r="C22" s="88" t="s">
        <v>136</v>
      </c>
      <c r="D22" s="88" t="s">
        <v>137</v>
      </c>
      <c r="E22" s="5">
        <v>100</v>
      </c>
      <c r="F22" s="93" t="s">
        <v>213</v>
      </c>
      <c r="G22" s="96" t="s">
        <v>311</v>
      </c>
      <c r="H22" s="1"/>
      <c r="I22" s="96" t="s">
        <v>137</v>
      </c>
      <c r="J22" s="96" t="s">
        <v>312</v>
      </c>
      <c r="K22" s="96" t="s">
        <v>313</v>
      </c>
      <c r="L22" s="96" t="s">
        <v>224</v>
      </c>
      <c r="M22" s="96" t="s">
        <v>275</v>
      </c>
      <c r="N22" s="96" t="s">
        <v>213</v>
      </c>
      <c r="O22" s="96" t="s">
        <v>255</v>
      </c>
      <c r="P22" s="96" t="s">
        <v>236</v>
      </c>
      <c r="Q22" s="96" t="s">
        <v>314</v>
      </c>
    </row>
    <row r="23" spans="1:17" x14ac:dyDescent="0.25">
      <c r="A23" s="87">
        <v>90</v>
      </c>
      <c r="B23" s="88" t="s">
        <v>138</v>
      </c>
      <c r="C23" s="88" t="s">
        <v>109</v>
      </c>
      <c r="D23" s="88" t="s">
        <v>139</v>
      </c>
      <c r="E23" s="5">
        <v>100</v>
      </c>
      <c r="F23" s="93" t="s">
        <v>205</v>
      </c>
      <c r="G23" s="96" t="s">
        <v>315</v>
      </c>
      <c r="H23" s="1"/>
      <c r="I23" s="96" t="s">
        <v>139</v>
      </c>
      <c r="J23" s="96" t="s">
        <v>316</v>
      </c>
      <c r="K23" s="96" t="s">
        <v>109</v>
      </c>
      <c r="L23" s="96" t="s">
        <v>222</v>
      </c>
      <c r="M23" s="96" t="s">
        <v>275</v>
      </c>
      <c r="N23" s="96" t="s">
        <v>205</v>
      </c>
      <c r="O23" s="96" t="s">
        <v>255</v>
      </c>
      <c r="P23" s="96" t="s">
        <v>229</v>
      </c>
      <c r="Q23" s="96" t="s">
        <v>276</v>
      </c>
    </row>
    <row r="24" spans="1:17" ht="29.25" x14ac:dyDescent="0.25">
      <c r="A24" s="87">
        <v>95</v>
      </c>
      <c r="B24" s="88" t="s">
        <v>195</v>
      </c>
      <c r="C24" s="88" t="s">
        <v>140</v>
      </c>
      <c r="D24" s="88" t="s">
        <v>141</v>
      </c>
      <c r="E24" s="5">
        <v>50</v>
      </c>
      <c r="F24" s="94" t="s">
        <v>214</v>
      </c>
      <c r="G24" s="96" t="s">
        <v>317</v>
      </c>
      <c r="H24" s="1"/>
      <c r="I24" s="96" t="s">
        <v>141</v>
      </c>
      <c r="J24" s="96" t="s">
        <v>318</v>
      </c>
      <c r="K24" s="96" t="s">
        <v>319</v>
      </c>
      <c r="L24" s="96" t="s">
        <v>225</v>
      </c>
      <c r="M24" s="96" t="s">
        <v>253</v>
      </c>
      <c r="N24" s="96" t="s">
        <v>214</v>
      </c>
      <c r="O24" s="96" t="s">
        <v>255</v>
      </c>
      <c r="P24" s="96" t="s">
        <v>237</v>
      </c>
      <c r="Q24" s="96" t="s">
        <v>320</v>
      </c>
    </row>
    <row r="25" spans="1:17" ht="43.5" x14ac:dyDescent="0.25">
      <c r="A25" s="87">
        <v>100</v>
      </c>
      <c r="B25" s="88" t="s">
        <v>196</v>
      </c>
      <c r="C25" s="88" t="s">
        <v>142</v>
      </c>
      <c r="D25" s="88" t="s">
        <v>143</v>
      </c>
      <c r="E25" s="5">
        <v>50</v>
      </c>
      <c r="F25" s="93" t="s">
        <v>215</v>
      </c>
      <c r="G25" s="96" t="s">
        <v>321</v>
      </c>
      <c r="H25" s="1"/>
      <c r="I25" s="96" t="s">
        <v>143</v>
      </c>
      <c r="J25" s="96" t="s">
        <v>322</v>
      </c>
      <c r="K25" s="96" t="s">
        <v>323</v>
      </c>
      <c r="L25" s="96" t="s">
        <v>226</v>
      </c>
      <c r="M25" s="96" t="s">
        <v>253</v>
      </c>
      <c r="N25" s="96" t="s">
        <v>215</v>
      </c>
      <c r="O25" s="96" t="s">
        <v>255</v>
      </c>
      <c r="P25" s="96" t="s">
        <v>238</v>
      </c>
      <c r="Q25" s="96" t="s">
        <v>324</v>
      </c>
    </row>
    <row r="26" spans="1:17" x14ac:dyDescent="0.25">
      <c r="A26" s="87">
        <v>100</v>
      </c>
      <c r="B26" s="88" t="s">
        <v>99</v>
      </c>
      <c r="C26" s="88" t="s">
        <v>118</v>
      </c>
      <c r="D26" s="88" t="s">
        <v>144</v>
      </c>
      <c r="E26" s="5">
        <v>50</v>
      </c>
      <c r="F26" s="6"/>
      <c r="G26" s="96" t="s">
        <v>221</v>
      </c>
      <c r="H26" s="1"/>
      <c r="I26" s="96" t="s">
        <v>144</v>
      </c>
      <c r="J26" s="96" t="s">
        <v>325</v>
      </c>
      <c r="K26" s="96" t="s">
        <v>291</v>
      </c>
      <c r="L26" s="96" t="s">
        <v>226</v>
      </c>
      <c r="M26" s="96" t="s">
        <v>253</v>
      </c>
      <c r="N26" s="1"/>
      <c r="O26" s="96" t="s">
        <v>255</v>
      </c>
      <c r="P26" s="1"/>
      <c r="Q26" s="1"/>
    </row>
    <row r="27" spans="1:17" ht="43.5" x14ac:dyDescent="0.25">
      <c r="A27" s="87">
        <v>105</v>
      </c>
      <c r="B27" s="89" t="s">
        <v>197</v>
      </c>
      <c r="C27" s="88" t="s">
        <v>122</v>
      </c>
      <c r="D27" s="88" t="s">
        <v>145</v>
      </c>
      <c r="E27" s="5">
        <v>100</v>
      </c>
      <c r="F27" s="94" t="s">
        <v>216</v>
      </c>
      <c r="G27" s="96" t="s">
        <v>326</v>
      </c>
      <c r="H27" s="1"/>
      <c r="I27" s="96" t="s">
        <v>145</v>
      </c>
      <c r="J27" s="96" t="s">
        <v>327</v>
      </c>
      <c r="K27" s="96" t="s">
        <v>291</v>
      </c>
      <c r="L27" s="96" t="s">
        <v>222</v>
      </c>
      <c r="M27" s="96" t="s">
        <v>275</v>
      </c>
      <c r="N27" s="96" t="s">
        <v>216</v>
      </c>
      <c r="O27" s="96" t="s">
        <v>255</v>
      </c>
      <c r="P27" s="96" t="s">
        <v>228</v>
      </c>
      <c r="Q27" s="96" t="s">
        <v>328</v>
      </c>
    </row>
    <row r="28" spans="1:17" ht="72" x14ac:dyDescent="0.25">
      <c r="A28" s="87">
        <v>110</v>
      </c>
      <c r="B28" s="89" t="s">
        <v>198</v>
      </c>
      <c r="C28" s="88" t="s">
        <v>104</v>
      </c>
      <c r="D28" s="88" t="s">
        <v>146</v>
      </c>
      <c r="E28" s="5">
        <v>50</v>
      </c>
      <c r="F28" s="93" t="s">
        <v>217</v>
      </c>
      <c r="G28" s="96" t="s">
        <v>329</v>
      </c>
      <c r="H28" s="1"/>
      <c r="I28" s="96" t="s">
        <v>146</v>
      </c>
      <c r="J28" s="96" t="s">
        <v>330</v>
      </c>
      <c r="K28" s="96" t="s">
        <v>267</v>
      </c>
      <c r="L28" s="96" t="s">
        <v>222</v>
      </c>
      <c r="M28" s="96" t="s">
        <v>253</v>
      </c>
      <c r="N28" s="96" t="s">
        <v>217</v>
      </c>
      <c r="O28" s="96" t="s">
        <v>255</v>
      </c>
      <c r="P28" s="1"/>
      <c r="Q28" s="1"/>
    </row>
    <row r="29" spans="1:17" ht="29.25" x14ac:dyDescent="0.25">
      <c r="A29" s="87">
        <v>115</v>
      </c>
      <c r="B29" s="88" t="s">
        <v>199</v>
      </c>
      <c r="C29" s="88" t="s">
        <v>124</v>
      </c>
      <c r="D29" s="88" t="s">
        <v>147</v>
      </c>
      <c r="E29" s="5">
        <v>50</v>
      </c>
      <c r="F29" s="93" t="s">
        <v>218</v>
      </c>
      <c r="G29" s="96" t="s">
        <v>331</v>
      </c>
      <c r="H29" s="1"/>
      <c r="I29" s="96" t="s">
        <v>147</v>
      </c>
      <c r="J29" s="96" t="s">
        <v>332</v>
      </c>
      <c r="K29" s="96" t="s">
        <v>300</v>
      </c>
      <c r="L29" s="96" t="s">
        <v>222</v>
      </c>
      <c r="M29" s="96" t="s">
        <v>253</v>
      </c>
      <c r="N29" s="96" t="s">
        <v>218</v>
      </c>
      <c r="O29" s="96" t="s">
        <v>255</v>
      </c>
      <c r="P29" s="96" t="s">
        <v>233</v>
      </c>
      <c r="Q29" s="96" t="s">
        <v>214</v>
      </c>
    </row>
    <row r="30" spans="1:17" ht="43.5" x14ac:dyDescent="0.25">
      <c r="A30" s="87">
        <v>120</v>
      </c>
      <c r="B30" s="88" t="s">
        <v>200</v>
      </c>
      <c r="C30" s="88" t="s">
        <v>148</v>
      </c>
      <c r="D30" s="88" t="s">
        <v>149</v>
      </c>
      <c r="E30" s="5">
        <v>0</v>
      </c>
      <c r="F30" s="6"/>
      <c r="G30" s="96" t="s">
        <v>221</v>
      </c>
      <c r="H30" s="1"/>
      <c r="I30" s="96" t="s">
        <v>149</v>
      </c>
      <c r="J30" s="96" t="s">
        <v>333</v>
      </c>
      <c r="K30" s="96" t="s">
        <v>334</v>
      </c>
      <c r="L30" s="96" t="s">
        <v>222</v>
      </c>
      <c r="M30" s="96" t="s">
        <v>317</v>
      </c>
      <c r="N30" s="96" t="s">
        <v>335</v>
      </c>
      <c r="O30" s="96" t="s">
        <v>255</v>
      </c>
      <c r="P30" s="1"/>
      <c r="Q30" s="1"/>
    </row>
    <row r="31" spans="1:17" x14ac:dyDescent="0.25">
      <c r="A31" s="87">
        <v>130</v>
      </c>
      <c r="B31" s="88" t="s">
        <v>201</v>
      </c>
      <c r="C31" s="88" t="s">
        <v>118</v>
      </c>
      <c r="D31" s="88" t="s">
        <v>150</v>
      </c>
      <c r="E31" s="5">
        <v>50</v>
      </c>
      <c r="F31" s="93" t="s">
        <v>219</v>
      </c>
      <c r="G31" s="96" t="s">
        <v>336</v>
      </c>
      <c r="H31" s="1"/>
      <c r="I31" s="96" t="s">
        <v>150</v>
      </c>
      <c r="J31" s="96" t="s">
        <v>337</v>
      </c>
      <c r="K31" s="96" t="s">
        <v>291</v>
      </c>
      <c r="L31" s="96" t="s">
        <v>222</v>
      </c>
      <c r="M31" s="96" t="s">
        <v>253</v>
      </c>
      <c r="N31" s="96" t="s">
        <v>219</v>
      </c>
      <c r="O31" s="96" t="s">
        <v>255</v>
      </c>
      <c r="P31" s="96" t="s">
        <v>239</v>
      </c>
      <c r="Q31" s="96" t="s">
        <v>338</v>
      </c>
    </row>
    <row r="32" spans="1:17" ht="45" x14ac:dyDescent="0.25">
      <c r="A32" s="87">
        <v>135</v>
      </c>
      <c r="B32" s="88" t="s">
        <v>151</v>
      </c>
      <c r="C32" s="88" t="s">
        <v>152</v>
      </c>
      <c r="D32" s="88" t="s">
        <v>153</v>
      </c>
      <c r="E32" s="5">
        <v>50</v>
      </c>
      <c r="F32" s="6"/>
      <c r="G32" s="96" t="s">
        <v>221</v>
      </c>
      <c r="H32" s="1"/>
      <c r="I32" s="96" t="s">
        <v>153</v>
      </c>
      <c r="J32" s="96" t="s">
        <v>339</v>
      </c>
      <c r="K32" s="96" t="s">
        <v>340</v>
      </c>
      <c r="L32" s="96" t="s">
        <v>221</v>
      </c>
      <c r="M32" s="96" t="s">
        <v>253</v>
      </c>
      <c r="N32" s="1"/>
      <c r="O32" s="96" t="s">
        <v>341</v>
      </c>
      <c r="P32" s="1"/>
      <c r="Q32" s="1"/>
    </row>
    <row r="33" spans="1:17" x14ac:dyDescent="0.25">
      <c r="A33" s="87">
        <v>140</v>
      </c>
      <c r="B33" s="88" t="s">
        <v>154</v>
      </c>
      <c r="C33" s="88" t="s">
        <v>155</v>
      </c>
      <c r="D33" s="88" t="s">
        <v>156</v>
      </c>
      <c r="E33" s="5">
        <v>650</v>
      </c>
      <c r="F33" s="93"/>
      <c r="G33" s="96" t="s">
        <v>221</v>
      </c>
      <c r="H33" s="1"/>
      <c r="I33" s="96" t="s">
        <v>343</v>
      </c>
      <c r="J33" s="96" t="s">
        <v>344</v>
      </c>
      <c r="K33" s="96" t="s">
        <v>345</v>
      </c>
      <c r="L33" s="96" t="s">
        <v>221</v>
      </c>
      <c r="M33" s="96" t="s">
        <v>346</v>
      </c>
      <c r="N33" s="96" t="s">
        <v>342</v>
      </c>
      <c r="O33" s="96" t="s">
        <v>255</v>
      </c>
      <c r="P33" s="1"/>
      <c r="Q33" s="1"/>
    </row>
  </sheetData>
  <conditionalFormatting sqref="D1:D33 I1:I33">
    <cfRule type="duplicateValues" dxfId="0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1C17-8BFD-4246-AB38-CD3A2BAC2DCB}">
  <dimension ref="J1:R28"/>
  <sheetViews>
    <sheetView zoomScale="85" zoomScaleNormal="85" workbookViewId="0">
      <selection activeCell="N5" sqref="N5"/>
    </sheetView>
  </sheetViews>
  <sheetFormatPr defaultRowHeight="15" x14ac:dyDescent="0.25"/>
  <cols>
    <col min="10" max="10" width="14.7109375" customWidth="1"/>
    <col min="11" max="11" width="16.42578125" customWidth="1"/>
    <col min="12" max="12" width="17.140625" customWidth="1"/>
    <col min="13" max="13" width="21.5703125" customWidth="1"/>
    <col min="14" max="15" width="23.5703125" customWidth="1"/>
    <col min="16" max="16" width="22.5703125" customWidth="1"/>
    <col min="17" max="17" width="12.28515625" customWidth="1"/>
    <col min="18" max="18" width="12.42578125" customWidth="1"/>
  </cols>
  <sheetData>
    <row r="1" spans="10:18" ht="28.5" x14ac:dyDescent="0.45">
      <c r="M1" s="54" t="s">
        <v>37</v>
      </c>
    </row>
    <row r="2" spans="10:18" ht="15.75" thickBot="1" x14ac:dyDescent="0.3"/>
    <row r="3" spans="10:18" ht="46.5" customHeight="1" x14ac:dyDescent="0.25">
      <c r="K3" s="110" t="s">
        <v>36</v>
      </c>
      <c r="L3" s="110" t="s">
        <v>35</v>
      </c>
      <c r="M3" s="53" t="s">
        <v>34</v>
      </c>
      <c r="N3" s="53" t="s">
        <v>33</v>
      </c>
      <c r="O3" s="53" t="s">
        <v>32</v>
      </c>
      <c r="P3" s="53" t="s">
        <v>31</v>
      </c>
      <c r="Q3" s="53" t="s">
        <v>31</v>
      </c>
    </row>
    <row r="4" spans="10:18" ht="47.25" thickBot="1" x14ac:dyDescent="0.3">
      <c r="K4" s="111"/>
      <c r="L4" s="111"/>
      <c r="M4" s="62" t="s">
        <v>50</v>
      </c>
      <c r="N4" s="62" t="s">
        <v>74</v>
      </c>
      <c r="O4" s="62" t="s">
        <v>49</v>
      </c>
      <c r="P4" s="62" t="s">
        <v>30</v>
      </c>
      <c r="Q4" s="62" t="s">
        <v>29</v>
      </c>
    </row>
    <row r="5" spans="10:18" ht="24" thickBot="1" x14ac:dyDescent="0.3">
      <c r="K5" s="64"/>
      <c r="L5" s="64"/>
      <c r="M5" s="64">
        <v>0.1</v>
      </c>
      <c r="N5" s="64">
        <v>0.2</v>
      </c>
      <c r="O5" s="64">
        <v>2</v>
      </c>
      <c r="P5" s="64">
        <f>K5*L5*M5*N5*O5</f>
        <v>0</v>
      </c>
      <c r="Q5" s="64">
        <f>P5/1.805</f>
        <v>0</v>
      </c>
    </row>
    <row r="7" spans="10:18" ht="29.25" thickBot="1" x14ac:dyDescent="0.5">
      <c r="L7" s="54"/>
      <c r="M7" s="54" t="s">
        <v>41</v>
      </c>
    </row>
    <row r="8" spans="10:18" ht="47.25" thickBot="1" x14ac:dyDescent="0.3">
      <c r="J8" s="55" t="s">
        <v>38</v>
      </c>
      <c r="K8" s="55" t="s">
        <v>46</v>
      </c>
      <c r="L8" s="55" t="s">
        <v>47</v>
      </c>
      <c r="M8" s="55" t="s">
        <v>43</v>
      </c>
      <c r="N8" s="56" t="s">
        <v>44</v>
      </c>
      <c r="O8" s="56" t="s">
        <v>33</v>
      </c>
      <c r="P8" s="55" t="s">
        <v>39</v>
      </c>
      <c r="Q8" s="55" t="s">
        <v>31</v>
      </c>
      <c r="R8" s="55" t="s">
        <v>31</v>
      </c>
    </row>
    <row r="9" spans="10:18" ht="47.25" thickBot="1" x14ac:dyDescent="0.3">
      <c r="J9" s="112"/>
      <c r="K9" s="55" t="s">
        <v>40</v>
      </c>
      <c r="L9" s="55" t="s">
        <v>40</v>
      </c>
      <c r="M9" s="55" t="s">
        <v>40</v>
      </c>
      <c r="N9" s="55" t="s">
        <v>45</v>
      </c>
      <c r="O9" s="62" t="s">
        <v>48</v>
      </c>
      <c r="P9" s="57"/>
      <c r="Q9" s="58" t="s">
        <v>30</v>
      </c>
      <c r="R9" s="58" t="s">
        <v>29</v>
      </c>
    </row>
    <row r="10" spans="10:18" ht="24" thickBot="1" x14ac:dyDescent="0.3">
      <c r="J10" s="113"/>
      <c r="K10" s="59"/>
      <c r="L10" s="59"/>
      <c r="M10" s="59"/>
      <c r="N10" s="60"/>
      <c r="O10" s="60"/>
      <c r="P10" s="59"/>
      <c r="Q10" s="61"/>
      <c r="R10" s="61"/>
    </row>
    <row r="11" spans="10:18" ht="24" thickBot="1" x14ac:dyDescent="0.3">
      <c r="J11" s="60"/>
      <c r="K11" s="60"/>
      <c r="L11" s="60"/>
      <c r="M11" s="60">
        <f>2*(K11+L11)</f>
        <v>0</v>
      </c>
      <c r="N11" s="60">
        <v>0.11</v>
      </c>
      <c r="O11" s="60">
        <v>1.2</v>
      </c>
      <c r="P11" s="59"/>
      <c r="Q11" s="61">
        <f>M11*N11*O11*P11</f>
        <v>0</v>
      </c>
      <c r="R11" s="61">
        <f>Q11/1.805</f>
        <v>0</v>
      </c>
    </row>
    <row r="13" spans="10:18" ht="29.25" thickBot="1" x14ac:dyDescent="0.5">
      <c r="L13" s="54"/>
      <c r="M13" s="54" t="s">
        <v>42</v>
      </c>
      <c r="N13" s="54"/>
    </row>
    <row r="14" spans="10:18" ht="47.25" thickBot="1" x14ac:dyDescent="0.3">
      <c r="J14" s="55" t="s">
        <v>38</v>
      </c>
      <c r="K14" s="55" t="s">
        <v>46</v>
      </c>
      <c r="L14" s="55" t="s">
        <v>47</v>
      </c>
      <c r="M14" s="55" t="s">
        <v>43</v>
      </c>
      <c r="N14" s="56" t="s">
        <v>44</v>
      </c>
      <c r="O14" s="56" t="s">
        <v>33</v>
      </c>
      <c r="P14" s="55" t="s">
        <v>39</v>
      </c>
      <c r="Q14" s="55" t="s">
        <v>31</v>
      </c>
      <c r="R14" s="55" t="s">
        <v>31</v>
      </c>
    </row>
    <row r="15" spans="10:18" ht="47.25" thickBot="1" x14ac:dyDescent="0.3">
      <c r="J15" s="112"/>
      <c r="K15" s="55" t="s">
        <v>40</v>
      </c>
      <c r="L15" s="55" t="s">
        <v>40</v>
      </c>
      <c r="M15" s="55" t="s">
        <v>40</v>
      </c>
      <c r="N15" s="55" t="s">
        <v>45</v>
      </c>
      <c r="O15" s="62" t="s">
        <v>48</v>
      </c>
      <c r="P15" s="57"/>
      <c r="Q15" s="58" t="s">
        <v>30</v>
      </c>
      <c r="R15" s="58" t="s">
        <v>29</v>
      </c>
    </row>
    <row r="16" spans="10:18" ht="24" thickBot="1" x14ac:dyDescent="0.3">
      <c r="J16" s="113"/>
      <c r="K16" s="59"/>
      <c r="L16" s="59"/>
      <c r="M16" s="59"/>
      <c r="N16" s="60"/>
      <c r="O16" s="60"/>
      <c r="P16" s="59"/>
      <c r="Q16" s="61"/>
      <c r="R16" s="61"/>
    </row>
    <row r="17" spans="10:18" ht="24" thickBot="1" x14ac:dyDescent="0.3">
      <c r="J17" s="60"/>
      <c r="K17" s="60"/>
      <c r="L17" s="60"/>
      <c r="M17" s="60">
        <f>2*(K17+L17)</f>
        <v>0</v>
      </c>
      <c r="N17" s="60">
        <v>0.11</v>
      </c>
      <c r="O17" s="60">
        <v>0.2</v>
      </c>
      <c r="P17" s="60"/>
      <c r="Q17" s="60">
        <f>M17*N17*O17*P17</f>
        <v>0</v>
      </c>
      <c r="R17" s="60">
        <f>Q17/1.805</f>
        <v>0</v>
      </c>
    </row>
    <row r="19" spans="10:18" ht="28.5" x14ac:dyDescent="0.45">
      <c r="M19" s="54" t="s">
        <v>51</v>
      </c>
    </row>
    <row r="20" spans="10:18" ht="15.75" thickBot="1" x14ac:dyDescent="0.3"/>
    <row r="21" spans="10:18" ht="46.5" x14ac:dyDescent="0.25">
      <c r="K21" s="110" t="s">
        <v>36</v>
      </c>
      <c r="L21" s="110" t="s">
        <v>35</v>
      </c>
      <c r="M21" s="63" t="s">
        <v>34</v>
      </c>
      <c r="N21" s="63" t="s">
        <v>33</v>
      </c>
      <c r="O21" s="63" t="s">
        <v>31</v>
      </c>
      <c r="P21" s="63" t="s">
        <v>31</v>
      </c>
    </row>
    <row r="22" spans="10:18" ht="47.25" thickBot="1" x14ac:dyDescent="0.3">
      <c r="K22" s="111"/>
      <c r="L22" s="111"/>
      <c r="M22" s="62" t="s">
        <v>52</v>
      </c>
      <c r="N22" s="62" t="s">
        <v>48</v>
      </c>
      <c r="O22" s="62" t="s">
        <v>30</v>
      </c>
      <c r="P22" s="62" t="s">
        <v>29</v>
      </c>
    </row>
    <row r="23" spans="10:18" ht="24" thickBot="1" x14ac:dyDescent="0.3">
      <c r="K23" s="64"/>
      <c r="L23" s="64"/>
      <c r="M23" s="64">
        <v>0.1</v>
      </c>
      <c r="N23" s="64">
        <v>0.25</v>
      </c>
      <c r="O23" s="64">
        <f>K23*L23*M23*N23</f>
        <v>0</v>
      </c>
      <c r="P23" s="64">
        <f>O23/1.805</f>
        <v>0</v>
      </c>
    </row>
    <row r="25" spans="10:18" ht="28.5" x14ac:dyDescent="0.45">
      <c r="K25" s="65"/>
      <c r="M25" s="54" t="s">
        <v>53</v>
      </c>
      <c r="N25" s="65"/>
      <c r="O25" s="65"/>
    </row>
    <row r="26" spans="10:18" ht="23.25" x14ac:dyDescent="0.35">
      <c r="K26" s="65"/>
      <c r="L26" s="65"/>
      <c r="M26" s="65"/>
      <c r="N26" s="65"/>
      <c r="O26" s="65"/>
    </row>
    <row r="27" spans="10:18" ht="116.25" x14ac:dyDescent="0.25">
      <c r="K27" s="66" t="s">
        <v>54</v>
      </c>
      <c r="L27" s="66" t="s">
        <v>55</v>
      </c>
      <c r="M27" s="66" t="s">
        <v>56</v>
      </c>
      <c r="N27" s="66" t="s">
        <v>57</v>
      </c>
      <c r="O27" s="66" t="s">
        <v>58</v>
      </c>
    </row>
    <row r="28" spans="10:18" ht="23.25" x14ac:dyDescent="0.25">
      <c r="K28" s="67"/>
      <c r="L28" s="67"/>
      <c r="M28" s="67">
        <v>1.2</v>
      </c>
      <c r="N28" s="67">
        <f>K28*L28*M28</f>
        <v>0</v>
      </c>
      <c r="O28" s="67">
        <f>N28/1.805</f>
        <v>0</v>
      </c>
    </row>
  </sheetData>
  <mergeCells count="6">
    <mergeCell ref="L3:L4"/>
    <mergeCell ref="J9:J10"/>
    <mergeCell ref="J15:J16"/>
    <mergeCell ref="K3:K4"/>
    <mergeCell ref="K21:K22"/>
    <mergeCell ref="L21:L22"/>
  </mergeCells>
  <phoneticPr fontId="8" type="noConversion"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H1:P7"/>
  <sheetViews>
    <sheetView workbookViewId="0">
      <selection activeCell="J1" sqref="J1"/>
    </sheetView>
  </sheetViews>
  <sheetFormatPr defaultRowHeight="15" x14ac:dyDescent="0.25"/>
  <cols>
    <col min="8" max="8" width="17.5703125" customWidth="1"/>
    <col min="9" max="9" width="18.28515625" customWidth="1"/>
    <col min="10" max="10" width="13.7109375" customWidth="1"/>
    <col min="11" max="11" width="13.140625" customWidth="1"/>
    <col min="12" max="12" width="17.7109375" bestFit="1" customWidth="1"/>
    <col min="13" max="13" width="13.42578125" customWidth="1"/>
    <col min="14" max="14" width="14.5703125" customWidth="1"/>
    <col min="15" max="15" width="17.85546875" bestFit="1" customWidth="1"/>
    <col min="16" max="16" width="16.140625" customWidth="1"/>
  </cols>
  <sheetData>
    <row r="1" spans="8:16" ht="28.5" x14ac:dyDescent="0.45">
      <c r="J1" s="54" t="s">
        <v>86</v>
      </c>
      <c r="K1" s="54"/>
    </row>
    <row r="2" spans="8:16" ht="15.75" thickBot="1" x14ac:dyDescent="0.3"/>
    <row r="3" spans="8:16" ht="93.75" thickBot="1" x14ac:dyDescent="0.3">
      <c r="H3" s="55" t="s">
        <v>60</v>
      </c>
      <c r="I3" s="55" t="s">
        <v>77</v>
      </c>
      <c r="J3" s="55" t="s">
        <v>78</v>
      </c>
      <c r="K3" s="55" t="s">
        <v>79</v>
      </c>
      <c r="L3" s="55" t="s">
        <v>80</v>
      </c>
      <c r="M3" s="55" t="s">
        <v>81</v>
      </c>
      <c r="N3" s="55" t="s">
        <v>82</v>
      </c>
      <c r="O3" s="55" t="s">
        <v>83</v>
      </c>
      <c r="P3" s="55" t="s">
        <v>84</v>
      </c>
    </row>
    <row r="4" spans="8:16" ht="24" thickBot="1" x14ac:dyDescent="0.3">
      <c r="H4" s="55" t="s">
        <v>75</v>
      </c>
      <c r="I4" s="55">
        <v>9.2770499999999991</v>
      </c>
      <c r="J4" s="80">
        <v>35.86</v>
      </c>
      <c r="K4" s="83">
        <f>'Chemicals Qty'!Q5</f>
        <v>0</v>
      </c>
      <c r="L4" s="83"/>
      <c r="M4" s="81">
        <f>K4*L4</f>
        <v>0</v>
      </c>
      <c r="N4" s="81">
        <f>M4/I4</f>
        <v>0</v>
      </c>
      <c r="O4" s="82">
        <f>N4*J4</f>
        <v>0</v>
      </c>
      <c r="P4" s="82" t="e">
        <f>O4/L4</f>
        <v>#DIV/0!</v>
      </c>
    </row>
    <row r="6" spans="8:16" x14ac:dyDescent="0.25">
      <c r="H6" s="79" t="s">
        <v>85</v>
      </c>
    </row>
    <row r="7" spans="8:16" x14ac:dyDescent="0.25">
      <c r="H7" s="78" t="s">
        <v>76</v>
      </c>
    </row>
  </sheetData>
  <hyperlinks>
    <hyperlink ref="H7" r:id="rId1" xr:uid="{7B7B2DEA-8556-4F7D-8199-2E4DF4861ACA}"/>
  </hyperlinks>
  <pageMargins left="0.7" right="0.7" top="0.75" bottom="0.75" header="0.3" footer="0.3"/>
  <pageSetup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A21E-CF73-4A9B-B16B-9E35C8200472}">
  <dimension ref="A1"/>
  <sheetViews>
    <sheetView workbookViewId="0">
      <selection activeCell="F25" sqref="F2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D59C-D026-49E9-88F0-798EE47A84AD}">
  <dimension ref="A1:F26"/>
  <sheetViews>
    <sheetView workbookViewId="0">
      <selection activeCell="G17" sqref="G17"/>
    </sheetView>
  </sheetViews>
  <sheetFormatPr defaultRowHeight="15" x14ac:dyDescent="0.25"/>
  <cols>
    <col min="1" max="1" width="28.28515625" customWidth="1"/>
    <col min="2" max="2" width="72.7109375" customWidth="1"/>
    <col min="3" max="3" width="11.42578125" customWidth="1"/>
    <col min="4" max="4" width="19.5703125" customWidth="1"/>
    <col min="5" max="5" width="12.42578125" bestFit="1" customWidth="1"/>
    <col min="6" max="6" width="10" bestFit="1" customWidth="1"/>
  </cols>
  <sheetData>
    <row r="1" spans="1:6" ht="15.75" thickBot="1" x14ac:dyDescent="0.3">
      <c r="D1" s="77"/>
    </row>
    <row r="2" spans="1:6" ht="20.25" thickBot="1" x14ac:dyDescent="0.35">
      <c r="A2" s="76"/>
      <c r="B2" s="75" t="s">
        <v>65</v>
      </c>
      <c r="C2" s="74"/>
      <c r="D2" s="74"/>
      <c r="E2" s="74"/>
      <c r="F2" s="74"/>
    </row>
    <row r="3" spans="1:6" ht="26.25" thickBot="1" x14ac:dyDescent="0.3">
      <c r="A3" s="73" t="s">
        <v>64</v>
      </c>
      <c r="B3" s="73" t="s">
        <v>63</v>
      </c>
      <c r="C3" s="73" t="s">
        <v>69</v>
      </c>
      <c r="D3" s="73" t="s">
        <v>62</v>
      </c>
      <c r="E3" s="73" t="s">
        <v>61</v>
      </c>
    </row>
    <row r="4" spans="1:6" x14ac:dyDescent="0.25">
      <c r="A4" s="72" t="s">
        <v>67</v>
      </c>
      <c r="B4" s="71" t="s">
        <v>68</v>
      </c>
      <c r="C4" s="70" t="s">
        <v>70</v>
      </c>
      <c r="D4" s="69" t="s">
        <v>72</v>
      </c>
      <c r="E4" s="68">
        <v>45435</v>
      </c>
    </row>
    <row r="5" spans="1:6" x14ac:dyDescent="0.25">
      <c r="A5" s="72" t="s">
        <v>66</v>
      </c>
      <c r="B5" s="71" t="s">
        <v>73</v>
      </c>
      <c r="C5" s="70" t="s">
        <v>71</v>
      </c>
      <c r="D5" s="69" t="s">
        <v>72</v>
      </c>
      <c r="E5" s="68">
        <v>45504</v>
      </c>
    </row>
    <row r="6" spans="1:6" x14ac:dyDescent="0.25">
      <c r="A6" s="72" t="s">
        <v>88</v>
      </c>
      <c r="B6" s="71" t="s">
        <v>92</v>
      </c>
      <c r="C6" s="70" t="s">
        <v>90</v>
      </c>
      <c r="D6" s="69" t="s">
        <v>89</v>
      </c>
      <c r="E6" s="68">
        <v>45866</v>
      </c>
    </row>
    <row r="7" spans="1:6" x14ac:dyDescent="0.25">
      <c r="A7" s="72" t="s">
        <v>91</v>
      </c>
      <c r="B7" s="71" t="s">
        <v>93</v>
      </c>
      <c r="C7" s="70" t="s">
        <v>94</v>
      </c>
      <c r="D7" s="69" t="s">
        <v>95</v>
      </c>
      <c r="E7" s="68">
        <v>45867</v>
      </c>
    </row>
    <row r="8" spans="1:6" x14ac:dyDescent="0.25">
      <c r="A8" s="72"/>
      <c r="B8" s="71"/>
      <c r="C8" s="70"/>
      <c r="D8" s="69"/>
      <c r="E8" s="68"/>
    </row>
    <row r="9" spans="1:6" x14ac:dyDescent="0.25">
      <c r="A9" s="72"/>
      <c r="B9" s="71"/>
      <c r="C9" s="70"/>
      <c r="D9" s="69"/>
      <c r="E9" s="68"/>
    </row>
    <row r="10" spans="1:6" x14ac:dyDescent="0.25">
      <c r="A10" s="72"/>
      <c r="B10" s="71"/>
      <c r="C10" s="70"/>
      <c r="D10" s="69"/>
      <c r="E10" s="68"/>
    </row>
    <row r="11" spans="1:6" x14ac:dyDescent="0.25">
      <c r="A11" s="72"/>
      <c r="B11" s="71"/>
      <c r="C11" s="70"/>
      <c r="D11" s="69"/>
      <c r="E11" s="68"/>
    </row>
    <row r="12" spans="1:6" x14ac:dyDescent="0.25">
      <c r="A12" s="72"/>
      <c r="B12" s="71"/>
      <c r="C12" s="70"/>
      <c r="D12" s="69"/>
      <c r="E12" s="68"/>
    </row>
    <row r="13" spans="1:6" x14ac:dyDescent="0.25">
      <c r="A13" s="72"/>
      <c r="B13" s="71"/>
      <c r="C13" s="70"/>
      <c r="D13" s="69"/>
      <c r="E13" s="68"/>
    </row>
    <row r="14" spans="1:6" x14ac:dyDescent="0.25">
      <c r="A14" s="72"/>
      <c r="B14" s="71"/>
      <c r="C14" s="70"/>
      <c r="D14" s="69"/>
      <c r="E14" s="68"/>
    </row>
    <row r="15" spans="1:6" x14ac:dyDescent="0.25">
      <c r="A15" s="72"/>
      <c r="B15" s="71"/>
      <c r="C15" s="70"/>
      <c r="D15" s="69"/>
      <c r="E15" s="68"/>
    </row>
    <row r="16" spans="1:6" x14ac:dyDescent="0.25">
      <c r="A16" s="72"/>
      <c r="B16" s="71"/>
      <c r="C16" s="70"/>
      <c r="D16" s="69"/>
      <c r="E16" s="68"/>
    </row>
    <row r="17" spans="1:5" x14ac:dyDescent="0.25">
      <c r="A17" s="72"/>
      <c r="B17" s="71"/>
      <c r="C17" s="70"/>
      <c r="D17" s="69"/>
      <c r="E17" s="68"/>
    </row>
    <row r="18" spans="1:5" x14ac:dyDescent="0.25">
      <c r="A18" s="72"/>
      <c r="B18" s="71"/>
      <c r="C18" s="70"/>
      <c r="D18" s="69"/>
      <c r="E18" s="68"/>
    </row>
    <row r="19" spans="1:5" x14ac:dyDescent="0.25">
      <c r="A19" s="72"/>
      <c r="B19" s="71"/>
      <c r="C19" s="70"/>
      <c r="D19" s="69"/>
      <c r="E19" s="68"/>
    </row>
    <row r="20" spans="1:5" x14ac:dyDescent="0.25">
      <c r="A20" s="72"/>
      <c r="B20" s="71"/>
      <c r="C20" s="70"/>
      <c r="D20" s="69"/>
      <c r="E20" s="68"/>
    </row>
    <row r="21" spans="1:5" x14ac:dyDescent="0.25">
      <c r="A21" s="72"/>
      <c r="B21" s="71"/>
      <c r="C21" s="70"/>
      <c r="D21" s="69"/>
      <c r="E21" s="68"/>
    </row>
    <row r="22" spans="1:5" x14ac:dyDescent="0.25">
      <c r="A22" s="72"/>
      <c r="B22" s="71"/>
      <c r="C22" s="70"/>
      <c r="D22" s="69"/>
      <c r="E22" s="68"/>
    </row>
    <row r="23" spans="1:5" x14ac:dyDescent="0.25">
      <c r="A23" s="72"/>
      <c r="B23" s="71"/>
      <c r="C23" s="70"/>
      <c r="D23" s="69"/>
      <c r="E23" s="68"/>
    </row>
    <row r="24" spans="1:5" x14ac:dyDescent="0.25">
      <c r="A24" s="72"/>
      <c r="B24" s="71"/>
      <c r="C24" s="70"/>
      <c r="D24" s="69"/>
      <c r="E24" s="68"/>
    </row>
    <row r="25" spans="1:5" x14ac:dyDescent="0.25">
      <c r="A25" s="72"/>
      <c r="B25" s="71"/>
      <c r="C25" s="70"/>
      <c r="D25" s="69"/>
      <c r="E25" s="68"/>
    </row>
    <row r="26" spans="1:5" x14ac:dyDescent="0.25">
      <c r="A26" s="72"/>
      <c r="B26" s="71"/>
      <c r="C26" s="70"/>
      <c r="D26" s="69"/>
      <c r="E26" s="68"/>
    </row>
  </sheetData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</vt:lpstr>
      <vt:lpstr>Tariff</vt:lpstr>
      <vt:lpstr>Chemicals Qty</vt:lpstr>
      <vt:lpstr>Chemicals pricing</vt:lpstr>
      <vt:lpstr>Fine Pitch, QFP, QFN, or BGA  </vt:lpstr>
      <vt:lpstr>Rev Rec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Catherine Arnold</cp:lastModifiedBy>
  <cp:lastPrinted>2015-06-09T16:50:53Z</cp:lastPrinted>
  <dcterms:created xsi:type="dcterms:W3CDTF">2014-02-28T14:28:37Z</dcterms:created>
  <dcterms:modified xsi:type="dcterms:W3CDTF">2025-08-28T19:04:42Z</dcterms:modified>
</cp:coreProperties>
</file>