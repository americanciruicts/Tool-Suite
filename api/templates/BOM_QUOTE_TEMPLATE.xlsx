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nold\Desktop\"/>
    </mc:Choice>
  </mc:AlternateContent>
  <xr:revisionPtr revIDLastSave="0" documentId="13_ncr:1_{5C09F31A-288A-4595-B5F3-64F4EFD68C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" sheetId="1" r:id="rId1"/>
    <sheet name="Tariff" sheetId="7" r:id="rId2"/>
    <sheet name="Chemicals Qty" sheetId="4" r:id="rId3"/>
    <sheet name="Chemicals pricing" sheetId="3" r:id="rId4"/>
    <sheet name="Fine Pitch, QFP, QFN, or BGA  " sheetId="5" r:id="rId5"/>
    <sheet name="Rev Rec" sheetId="6" r:id="rId6"/>
  </sheets>
  <externalReferences>
    <externalReference r:id="rId7"/>
  </externalReferences>
  <definedNames>
    <definedName name="_xlnm._FilterDatabase" localSheetId="0" hidden="1">BOM!$A$23:$AX$23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" l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4" i="1"/>
  <c r="AQ24" i="1"/>
  <c r="AK24" i="1"/>
  <c r="AE24" i="1"/>
  <c r="Y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4" i="1"/>
  <c r="AT25" i="1"/>
  <c r="AU25" i="1" s="1"/>
  <c r="AT26" i="1"/>
  <c r="AU26" i="1" s="1"/>
  <c r="AT27" i="1"/>
  <c r="AU27" i="1"/>
  <c r="AT28" i="1"/>
  <c r="AU28" i="1" s="1"/>
  <c r="AT29" i="1"/>
  <c r="AU29" i="1" s="1"/>
  <c r="AT30" i="1"/>
  <c r="AU30" i="1" s="1"/>
  <c r="AT31" i="1"/>
  <c r="AU31" i="1"/>
  <c r="AT32" i="1"/>
  <c r="AU32" i="1" s="1"/>
  <c r="AT33" i="1"/>
  <c r="AU33" i="1" s="1"/>
  <c r="AT34" i="1"/>
  <c r="AU34" i="1" s="1"/>
  <c r="AT35" i="1"/>
  <c r="AU35" i="1"/>
  <c r="AT36" i="1"/>
  <c r="AU36" i="1" s="1"/>
  <c r="AT37" i="1"/>
  <c r="AU37" i="1" s="1"/>
  <c r="AT38" i="1"/>
  <c r="AU38" i="1" s="1"/>
  <c r="AT39" i="1"/>
  <c r="AU39" i="1"/>
  <c r="AT40" i="1"/>
  <c r="AU40" i="1" s="1"/>
  <c r="AT41" i="1"/>
  <c r="AU41" i="1" s="1"/>
  <c r="AT42" i="1"/>
  <c r="AU42" i="1" s="1"/>
  <c r="AT43" i="1"/>
  <c r="AU43" i="1"/>
  <c r="AT44" i="1"/>
  <c r="AU44" i="1" s="1"/>
  <c r="AT45" i="1"/>
  <c r="AU45" i="1" s="1"/>
  <c r="AT46" i="1"/>
  <c r="AU46" i="1" s="1"/>
  <c r="AT47" i="1"/>
  <c r="AU47" i="1"/>
  <c r="AT48" i="1"/>
  <c r="AU48" i="1" s="1"/>
  <c r="AT49" i="1"/>
  <c r="AU49" i="1" s="1"/>
  <c r="AT50" i="1"/>
  <c r="AU50" i="1" s="1"/>
  <c r="AT51" i="1"/>
  <c r="AU51" i="1"/>
  <c r="AT52" i="1"/>
  <c r="AU52" i="1" s="1"/>
  <c r="AT53" i="1"/>
  <c r="AU53" i="1" s="1"/>
  <c r="AT54" i="1"/>
  <c r="AU54" i="1" s="1"/>
  <c r="AT55" i="1"/>
  <c r="AU55" i="1"/>
  <c r="AT56" i="1"/>
  <c r="AU56" i="1" s="1"/>
  <c r="AT57" i="1"/>
  <c r="AU57" i="1" s="1"/>
  <c r="AT58" i="1"/>
  <c r="AU58" i="1" s="1"/>
  <c r="AT59" i="1"/>
  <c r="AU59" i="1"/>
  <c r="AT60" i="1"/>
  <c r="AU60" i="1" s="1"/>
  <c r="AT61" i="1"/>
  <c r="AU61" i="1" s="1"/>
  <c r="AT62" i="1"/>
  <c r="AU62" i="1" s="1"/>
  <c r="AT63" i="1"/>
  <c r="AU63" i="1"/>
  <c r="AT64" i="1"/>
  <c r="AU64" i="1" s="1"/>
  <c r="AT65" i="1"/>
  <c r="AU65" i="1" s="1"/>
  <c r="AT66" i="1"/>
  <c r="AU66" i="1" s="1"/>
  <c r="AT67" i="1"/>
  <c r="AU67" i="1"/>
  <c r="AT68" i="1"/>
  <c r="AU68" i="1" s="1"/>
  <c r="AT69" i="1"/>
  <c r="AU69" i="1" s="1"/>
  <c r="AT70" i="1"/>
  <c r="AU70" i="1" s="1"/>
  <c r="AT71" i="1"/>
  <c r="AU71" i="1"/>
  <c r="AT72" i="1"/>
  <c r="AU72" i="1" s="1"/>
  <c r="AT73" i="1"/>
  <c r="AU73" i="1" s="1"/>
  <c r="AT74" i="1"/>
  <c r="AU74" i="1" s="1"/>
  <c r="AT75" i="1"/>
  <c r="AU75" i="1"/>
  <c r="AT76" i="1"/>
  <c r="AU76" i="1" s="1"/>
  <c r="AT77" i="1"/>
  <c r="AU77" i="1" s="1"/>
  <c r="AT78" i="1"/>
  <c r="AU78" i="1" s="1"/>
  <c r="AT79" i="1"/>
  <c r="AU79" i="1"/>
  <c r="AT80" i="1"/>
  <c r="AU80" i="1" s="1"/>
  <c r="AT81" i="1"/>
  <c r="AU81" i="1" s="1"/>
  <c r="AT82" i="1"/>
  <c r="AU82" i="1" s="1"/>
  <c r="AT83" i="1"/>
  <c r="AU83" i="1"/>
  <c r="AT84" i="1"/>
  <c r="AU84" i="1" s="1"/>
  <c r="AT85" i="1"/>
  <c r="AU85" i="1" s="1"/>
  <c r="AT86" i="1"/>
  <c r="AU86" i="1" s="1"/>
  <c r="AT87" i="1"/>
  <c r="AU87" i="1"/>
  <c r="AT88" i="1"/>
  <c r="AU88" i="1" s="1"/>
  <c r="AT89" i="1"/>
  <c r="AU89" i="1" s="1"/>
  <c r="AT90" i="1"/>
  <c r="AU90" i="1" s="1"/>
  <c r="AT91" i="1"/>
  <c r="AU91" i="1"/>
  <c r="AT92" i="1"/>
  <c r="AU92" i="1" s="1"/>
  <c r="AT93" i="1"/>
  <c r="AU93" i="1" s="1"/>
  <c r="AT94" i="1"/>
  <c r="AU94" i="1" s="1"/>
  <c r="AT95" i="1"/>
  <c r="AU95" i="1"/>
  <c r="AT96" i="1"/>
  <c r="AU96" i="1" s="1"/>
  <c r="AT97" i="1"/>
  <c r="AU97" i="1" s="1"/>
  <c r="AT98" i="1"/>
  <c r="AU98" i="1" s="1"/>
  <c r="AT99" i="1"/>
  <c r="AU99" i="1"/>
  <c r="AT100" i="1"/>
  <c r="AU100" i="1" s="1"/>
  <c r="AT101" i="1"/>
  <c r="AU101" i="1" s="1"/>
  <c r="AT102" i="1"/>
  <c r="AU102" i="1" s="1"/>
  <c r="AT103" i="1"/>
  <c r="AU103" i="1"/>
  <c r="AT104" i="1"/>
  <c r="AU104" i="1" s="1"/>
  <c r="AT105" i="1"/>
  <c r="AU105" i="1" s="1"/>
  <c r="AT106" i="1"/>
  <c r="AU106" i="1" s="1"/>
  <c r="AT107" i="1"/>
  <c r="AU107" i="1"/>
  <c r="AT108" i="1"/>
  <c r="AU108" i="1" s="1"/>
  <c r="AT109" i="1"/>
  <c r="AU109" i="1" s="1"/>
  <c r="AT110" i="1"/>
  <c r="AU110" i="1" s="1"/>
  <c r="AT111" i="1"/>
  <c r="AU111" i="1"/>
  <c r="AT112" i="1"/>
  <c r="AU112" i="1" s="1"/>
  <c r="AT113" i="1"/>
  <c r="AU113" i="1" s="1"/>
  <c r="AT114" i="1"/>
  <c r="AU114" i="1" s="1"/>
  <c r="AT115" i="1"/>
  <c r="AU115" i="1"/>
  <c r="AT116" i="1"/>
  <c r="AU116" i="1" s="1"/>
  <c r="AT117" i="1"/>
  <c r="AU117" i="1" s="1"/>
  <c r="AT118" i="1"/>
  <c r="AU118" i="1" s="1"/>
  <c r="AT119" i="1"/>
  <c r="AU119" i="1"/>
  <c r="AT120" i="1"/>
  <c r="AU120" i="1" s="1"/>
  <c r="AT121" i="1"/>
  <c r="AU121" i="1" s="1"/>
  <c r="AT122" i="1"/>
  <c r="AU122" i="1" s="1"/>
  <c r="AT123" i="1"/>
  <c r="AU123" i="1"/>
  <c r="AT124" i="1"/>
  <c r="AU124" i="1" s="1"/>
  <c r="AT125" i="1"/>
  <c r="AU125" i="1" s="1"/>
  <c r="AT126" i="1"/>
  <c r="AU126" i="1" s="1"/>
  <c r="AT127" i="1"/>
  <c r="AU127" i="1"/>
  <c r="AT128" i="1"/>
  <c r="AU128" i="1" s="1"/>
  <c r="AT129" i="1"/>
  <c r="AU129" i="1" s="1"/>
  <c r="AT130" i="1"/>
  <c r="AU130" i="1" s="1"/>
  <c r="AT131" i="1"/>
  <c r="AU131" i="1"/>
  <c r="AT132" i="1"/>
  <c r="AU132" i="1" s="1"/>
  <c r="AT133" i="1"/>
  <c r="AU133" i="1" s="1"/>
  <c r="AT134" i="1"/>
  <c r="AU134" i="1" s="1"/>
  <c r="AT135" i="1"/>
  <c r="AU135" i="1"/>
  <c r="AT136" i="1"/>
  <c r="AU136" i="1" s="1"/>
  <c r="AT137" i="1"/>
  <c r="AU137" i="1" s="1"/>
  <c r="AT138" i="1"/>
  <c r="AU138" i="1" s="1"/>
  <c r="AT139" i="1"/>
  <c r="AU139" i="1"/>
  <c r="AT140" i="1"/>
  <c r="AU140" i="1" s="1"/>
  <c r="AT141" i="1"/>
  <c r="AU141" i="1" s="1"/>
  <c r="AT142" i="1"/>
  <c r="AU142" i="1" s="1"/>
  <c r="AT143" i="1"/>
  <c r="AU143" i="1"/>
  <c r="AT144" i="1"/>
  <c r="AU144" i="1" s="1"/>
  <c r="AT145" i="1"/>
  <c r="AU145" i="1" s="1"/>
  <c r="AT146" i="1"/>
  <c r="AU146" i="1" s="1"/>
  <c r="AT147" i="1"/>
  <c r="AU147" i="1"/>
  <c r="AT148" i="1"/>
  <c r="AU148" i="1" s="1"/>
  <c r="AT149" i="1"/>
  <c r="AU149" i="1" s="1"/>
  <c r="AT150" i="1"/>
  <c r="AU150" i="1" s="1"/>
  <c r="AT151" i="1"/>
  <c r="AU151" i="1"/>
  <c r="AT152" i="1"/>
  <c r="AU152" i="1" s="1"/>
  <c r="AT153" i="1"/>
  <c r="AU153" i="1" s="1"/>
  <c r="AT154" i="1"/>
  <c r="AU154" i="1" s="1"/>
  <c r="AT155" i="1"/>
  <c r="AU155" i="1"/>
  <c r="AT156" i="1"/>
  <c r="AU156" i="1" s="1"/>
  <c r="AT157" i="1"/>
  <c r="AU157" i="1" s="1"/>
  <c r="AT158" i="1"/>
  <c r="AU158" i="1" s="1"/>
  <c r="AT159" i="1"/>
  <c r="AU159" i="1"/>
  <c r="AT160" i="1"/>
  <c r="AU160" i="1" s="1"/>
  <c r="AT161" i="1"/>
  <c r="AU161" i="1" s="1"/>
  <c r="AT162" i="1"/>
  <c r="AU162" i="1" s="1"/>
  <c r="AT163" i="1"/>
  <c r="AU163" i="1"/>
  <c r="AT164" i="1"/>
  <c r="AU164" i="1" s="1"/>
  <c r="AT165" i="1"/>
  <c r="AU165" i="1" s="1"/>
  <c r="AT166" i="1"/>
  <c r="AU166" i="1" s="1"/>
  <c r="AT167" i="1"/>
  <c r="AU167" i="1"/>
  <c r="AT168" i="1"/>
  <c r="AU168" i="1" s="1"/>
  <c r="AT169" i="1"/>
  <c r="AU169" i="1" s="1"/>
  <c r="AT170" i="1"/>
  <c r="AU170" i="1" s="1"/>
  <c r="AT171" i="1"/>
  <c r="AU171" i="1"/>
  <c r="AT172" i="1"/>
  <c r="AU172" i="1" s="1"/>
  <c r="AT173" i="1"/>
  <c r="AU173" i="1" s="1"/>
  <c r="AT174" i="1"/>
  <c r="AU174" i="1" s="1"/>
  <c r="AT175" i="1"/>
  <c r="AU175" i="1"/>
  <c r="AT176" i="1"/>
  <c r="AU176" i="1" s="1"/>
  <c r="AT177" i="1"/>
  <c r="AU177" i="1" s="1"/>
  <c r="AT178" i="1"/>
  <c r="AU178" i="1" s="1"/>
  <c r="AT179" i="1"/>
  <c r="AU179" i="1"/>
  <c r="AT180" i="1"/>
  <c r="AU180" i="1" s="1"/>
  <c r="AT181" i="1"/>
  <c r="AU181" i="1" s="1"/>
  <c r="AT182" i="1"/>
  <c r="AU182" i="1" s="1"/>
  <c r="AT183" i="1"/>
  <c r="AU183" i="1"/>
  <c r="AT184" i="1"/>
  <c r="AU184" i="1" s="1"/>
  <c r="AT185" i="1"/>
  <c r="AU185" i="1" s="1"/>
  <c r="AT186" i="1"/>
  <c r="AU186" i="1" s="1"/>
  <c r="AT187" i="1"/>
  <c r="AU187" i="1"/>
  <c r="AT188" i="1"/>
  <c r="AU188" i="1" s="1"/>
  <c r="AT189" i="1"/>
  <c r="AU189" i="1" s="1"/>
  <c r="AT190" i="1"/>
  <c r="AU190" i="1" s="1"/>
  <c r="AT191" i="1"/>
  <c r="AU191" i="1"/>
  <c r="AT192" i="1"/>
  <c r="AU192" i="1" s="1"/>
  <c r="AT193" i="1"/>
  <c r="AU193" i="1" s="1"/>
  <c r="AT194" i="1"/>
  <c r="AU194" i="1" s="1"/>
  <c r="AT195" i="1"/>
  <c r="AU195" i="1"/>
  <c r="AT196" i="1"/>
  <c r="AU196" i="1" s="1"/>
  <c r="AT197" i="1"/>
  <c r="AU197" i="1" s="1"/>
  <c r="AT198" i="1"/>
  <c r="AU198" i="1" s="1"/>
  <c r="AT199" i="1"/>
  <c r="AU199" i="1"/>
  <c r="AT200" i="1"/>
  <c r="AU200" i="1" s="1"/>
  <c r="AT201" i="1"/>
  <c r="AU201" i="1" s="1"/>
  <c r="AT202" i="1"/>
  <c r="AU202" i="1" s="1"/>
  <c r="AT203" i="1"/>
  <c r="AU203" i="1"/>
  <c r="AT204" i="1"/>
  <c r="AU204" i="1" s="1"/>
  <c r="AT205" i="1"/>
  <c r="AU205" i="1" s="1"/>
  <c r="AT206" i="1"/>
  <c r="AU206" i="1" s="1"/>
  <c r="AT207" i="1"/>
  <c r="AU207" i="1"/>
  <c r="AT208" i="1"/>
  <c r="AU208" i="1" s="1"/>
  <c r="AT209" i="1"/>
  <c r="AU209" i="1" s="1"/>
  <c r="AT210" i="1"/>
  <c r="AU210" i="1" s="1"/>
  <c r="AT211" i="1"/>
  <c r="AU211" i="1"/>
  <c r="AT212" i="1"/>
  <c r="AU212" i="1" s="1"/>
  <c r="AT213" i="1"/>
  <c r="AU213" i="1" s="1"/>
  <c r="AT214" i="1"/>
  <c r="AU214" i="1" s="1"/>
  <c r="AT215" i="1"/>
  <c r="AU215" i="1"/>
  <c r="AT216" i="1"/>
  <c r="AU216" i="1" s="1"/>
  <c r="AT217" i="1"/>
  <c r="AU217" i="1" s="1"/>
  <c r="AT218" i="1"/>
  <c r="AU218" i="1" s="1"/>
  <c r="AT219" i="1"/>
  <c r="AU219" i="1"/>
  <c r="AT220" i="1"/>
  <c r="AU220" i="1" s="1"/>
  <c r="AN25" i="1"/>
  <c r="AO25" i="1" s="1"/>
  <c r="AN26" i="1"/>
  <c r="AO26" i="1" s="1"/>
  <c r="AN27" i="1"/>
  <c r="AO27" i="1"/>
  <c r="AN28" i="1"/>
  <c r="AO28" i="1" s="1"/>
  <c r="AN29" i="1"/>
  <c r="AO29" i="1" s="1"/>
  <c r="AN30" i="1"/>
  <c r="AO30" i="1" s="1"/>
  <c r="AN31" i="1"/>
  <c r="AO31" i="1"/>
  <c r="AN32" i="1"/>
  <c r="AO32" i="1" s="1"/>
  <c r="AN33" i="1"/>
  <c r="AO33" i="1" s="1"/>
  <c r="AN34" i="1"/>
  <c r="AO34" i="1" s="1"/>
  <c r="AN35" i="1"/>
  <c r="AO35" i="1"/>
  <c r="AN36" i="1"/>
  <c r="AO36" i="1" s="1"/>
  <c r="AN37" i="1"/>
  <c r="AO37" i="1" s="1"/>
  <c r="AN38" i="1"/>
  <c r="AO38" i="1" s="1"/>
  <c r="AN39" i="1"/>
  <c r="AO39" i="1"/>
  <c r="AN40" i="1"/>
  <c r="AO40" i="1" s="1"/>
  <c r="AN41" i="1"/>
  <c r="AO41" i="1" s="1"/>
  <c r="AN42" i="1"/>
  <c r="AO42" i="1" s="1"/>
  <c r="AN43" i="1"/>
  <c r="AO43" i="1"/>
  <c r="AN44" i="1"/>
  <c r="AO44" i="1" s="1"/>
  <c r="AN45" i="1"/>
  <c r="AO45" i="1" s="1"/>
  <c r="AN46" i="1"/>
  <c r="AO46" i="1" s="1"/>
  <c r="AN47" i="1"/>
  <c r="AO47" i="1"/>
  <c r="AN48" i="1"/>
  <c r="AO48" i="1" s="1"/>
  <c r="AN49" i="1"/>
  <c r="AO49" i="1" s="1"/>
  <c r="AN50" i="1"/>
  <c r="AO50" i="1" s="1"/>
  <c r="AN51" i="1"/>
  <c r="AO51" i="1"/>
  <c r="AN52" i="1"/>
  <c r="AO52" i="1" s="1"/>
  <c r="AN53" i="1"/>
  <c r="AO53" i="1" s="1"/>
  <c r="AN54" i="1"/>
  <c r="AO54" i="1" s="1"/>
  <c r="AN55" i="1"/>
  <c r="AO55" i="1"/>
  <c r="AN56" i="1"/>
  <c r="AO56" i="1" s="1"/>
  <c r="AN57" i="1"/>
  <c r="AO57" i="1" s="1"/>
  <c r="AN58" i="1"/>
  <c r="AO58" i="1" s="1"/>
  <c r="AN59" i="1"/>
  <c r="AO59" i="1"/>
  <c r="AN60" i="1"/>
  <c r="AO60" i="1" s="1"/>
  <c r="AN61" i="1"/>
  <c r="AO61" i="1" s="1"/>
  <c r="AN62" i="1"/>
  <c r="AO62" i="1" s="1"/>
  <c r="AN63" i="1"/>
  <c r="AO63" i="1"/>
  <c r="AN64" i="1"/>
  <c r="AO64" i="1" s="1"/>
  <c r="AN65" i="1"/>
  <c r="AO65" i="1" s="1"/>
  <c r="AN66" i="1"/>
  <c r="AO66" i="1" s="1"/>
  <c r="AN67" i="1"/>
  <c r="AO67" i="1"/>
  <c r="AN68" i="1"/>
  <c r="AO68" i="1" s="1"/>
  <c r="AN69" i="1"/>
  <c r="AO69" i="1" s="1"/>
  <c r="AN70" i="1"/>
  <c r="AO70" i="1" s="1"/>
  <c r="AN71" i="1"/>
  <c r="AO71" i="1"/>
  <c r="AN72" i="1"/>
  <c r="AO72" i="1" s="1"/>
  <c r="AN73" i="1"/>
  <c r="AO73" i="1" s="1"/>
  <c r="AN74" i="1"/>
  <c r="AO74" i="1" s="1"/>
  <c r="AN75" i="1"/>
  <c r="AO75" i="1"/>
  <c r="AN76" i="1"/>
  <c r="AO76" i="1" s="1"/>
  <c r="AN77" i="1"/>
  <c r="AO77" i="1" s="1"/>
  <c r="AN78" i="1"/>
  <c r="AO78" i="1" s="1"/>
  <c r="AN79" i="1"/>
  <c r="AO79" i="1"/>
  <c r="AN80" i="1"/>
  <c r="AO80" i="1" s="1"/>
  <c r="AN81" i="1"/>
  <c r="AO81" i="1" s="1"/>
  <c r="AN82" i="1"/>
  <c r="AO82" i="1" s="1"/>
  <c r="AN83" i="1"/>
  <c r="AO83" i="1"/>
  <c r="AN84" i="1"/>
  <c r="AO84" i="1" s="1"/>
  <c r="AN85" i="1"/>
  <c r="AO85" i="1" s="1"/>
  <c r="AN86" i="1"/>
  <c r="AO86" i="1" s="1"/>
  <c r="AN87" i="1"/>
  <c r="AO87" i="1"/>
  <c r="AN88" i="1"/>
  <c r="AO88" i="1" s="1"/>
  <c r="AN89" i="1"/>
  <c r="AO89" i="1" s="1"/>
  <c r="AN90" i="1"/>
  <c r="AO90" i="1" s="1"/>
  <c r="AN91" i="1"/>
  <c r="AO91" i="1"/>
  <c r="AN92" i="1"/>
  <c r="AO92" i="1" s="1"/>
  <c r="AN93" i="1"/>
  <c r="AO93" i="1" s="1"/>
  <c r="AN94" i="1"/>
  <c r="AO94" i="1" s="1"/>
  <c r="AN95" i="1"/>
  <c r="AO95" i="1"/>
  <c r="AN96" i="1"/>
  <c r="AO96" i="1" s="1"/>
  <c r="AN97" i="1"/>
  <c r="AO97" i="1" s="1"/>
  <c r="AN98" i="1"/>
  <c r="AO98" i="1" s="1"/>
  <c r="AN99" i="1"/>
  <c r="AO99" i="1"/>
  <c r="AN100" i="1"/>
  <c r="AO100" i="1" s="1"/>
  <c r="AN101" i="1"/>
  <c r="AO101" i="1" s="1"/>
  <c r="AN102" i="1"/>
  <c r="AO102" i="1" s="1"/>
  <c r="AN103" i="1"/>
  <c r="AO103" i="1"/>
  <c r="AN104" i="1"/>
  <c r="AO104" i="1" s="1"/>
  <c r="AN105" i="1"/>
  <c r="AO105" i="1" s="1"/>
  <c r="AN106" i="1"/>
  <c r="AO106" i="1" s="1"/>
  <c r="AN107" i="1"/>
  <c r="AO107" i="1"/>
  <c r="AN108" i="1"/>
  <c r="AO108" i="1" s="1"/>
  <c r="AN109" i="1"/>
  <c r="AO109" i="1" s="1"/>
  <c r="AN110" i="1"/>
  <c r="AO110" i="1" s="1"/>
  <c r="AN111" i="1"/>
  <c r="AO111" i="1"/>
  <c r="AN112" i="1"/>
  <c r="AO112" i="1" s="1"/>
  <c r="AN113" i="1"/>
  <c r="AO113" i="1" s="1"/>
  <c r="AN114" i="1"/>
  <c r="AO114" i="1" s="1"/>
  <c r="AN115" i="1"/>
  <c r="AO115" i="1"/>
  <c r="AN116" i="1"/>
  <c r="AO116" i="1" s="1"/>
  <c r="AN117" i="1"/>
  <c r="AO117" i="1" s="1"/>
  <c r="AN118" i="1"/>
  <c r="AO118" i="1" s="1"/>
  <c r="AN119" i="1"/>
  <c r="AO119" i="1"/>
  <c r="AN120" i="1"/>
  <c r="AO120" i="1" s="1"/>
  <c r="AN121" i="1"/>
  <c r="AO121" i="1" s="1"/>
  <c r="AN122" i="1"/>
  <c r="AO122" i="1" s="1"/>
  <c r="AN123" i="1"/>
  <c r="AO123" i="1"/>
  <c r="AN124" i="1"/>
  <c r="AO124" i="1" s="1"/>
  <c r="AN125" i="1"/>
  <c r="AO125" i="1" s="1"/>
  <c r="AN126" i="1"/>
  <c r="AO126" i="1" s="1"/>
  <c r="AN127" i="1"/>
  <c r="AO127" i="1"/>
  <c r="AN128" i="1"/>
  <c r="AO128" i="1" s="1"/>
  <c r="AN129" i="1"/>
  <c r="AO129" i="1" s="1"/>
  <c r="AN130" i="1"/>
  <c r="AO130" i="1" s="1"/>
  <c r="AN131" i="1"/>
  <c r="AO131" i="1"/>
  <c r="AN132" i="1"/>
  <c r="AO132" i="1" s="1"/>
  <c r="AN133" i="1"/>
  <c r="AO133" i="1" s="1"/>
  <c r="AN134" i="1"/>
  <c r="AO134" i="1" s="1"/>
  <c r="AN135" i="1"/>
  <c r="AO135" i="1"/>
  <c r="AN136" i="1"/>
  <c r="AO136" i="1" s="1"/>
  <c r="AN137" i="1"/>
  <c r="AO137" i="1" s="1"/>
  <c r="AN138" i="1"/>
  <c r="AO138" i="1" s="1"/>
  <c r="AN139" i="1"/>
  <c r="AO139" i="1"/>
  <c r="AN140" i="1"/>
  <c r="AO140" i="1" s="1"/>
  <c r="AN141" i="1"/>
  <c r="AO141" i="1" s="1"/>
  <c r="AN142" i="1"/>
  <c r="AO142" i="1" s="1"/>
  <c r="AN143" i="1"/>
  <c r="AO143" i="1"/>
  <c r="AN144" i="1"/>
  <c r="AO144" i="1" s="1"/>
  <c r="AN145" i="1"/>
  <c r="AO145" i="1" s="1"/>
  <c r="AN146" i="1"/>
  <c r="AO146" i="1" s="1"/>
  <c r="AN147" i="1"/>
  <c r="AO147" i="1"/>
  <c r="AN148" i="1"/>
  <c r="AO148" i="1" s="1"/>
  <c r="AN149" i="1"/>
  <c r="AO149" i="1" s="1"/>
  <c r="AN150" i="1"/>
  <c r="AO150" i="1" s="1"/>
  <c r="AN151" i="1"/>
  <c r="AO151" i="1"/>
  <c r="AN152" i="1"/>
  <c r="AO152" i="1" s="1"/>
  <c r="AN153" i="1"/>
  <c r="AO153" i="1" s="1"/>
  <c r="AN154" i="1"/>
  <c r="AO154" i="1" s="1"/>
  <c r="AN155" i="1"/>
  <c r="AO155" i="1"/>
  <c r="AN156" i="1"/>
  <c r="AO156" i="1" s="1"/>
  <c r="AN157" i="1"/>
  <c r="AO157" i="1" s="1"/>
  <c r="AN158" i="1"/>
  <c r="AO158" i="1" s="1"/>
  <c r="AN159" i="1"/>
  <c r="AO159" i="1"/>
  <c r="AN160" i="1"/>
  <c r="AO160" i="1" s="1"/>
  <c r="AN161" i="1"/>
  <c r="AO161" i="1" s="1"/>
  <c r="AN162" i="1"/>
  <c r="AO162" i="1" s="1"/>
  <c r="AN163" i="1"/>
  <c r="AO163" i="1"/>
  <c r="AN164" i="1"/>
  <c r="AO164" i="1" s="1"/>
  <c r="AN165" i="1"/>
  <c r="AO165" i="1" s="1"/>
  <c r="AN166" i="1"/>
  <c r="AO166" i="1" s="1"/>
  <c r="AN167" i="1"/>
  <c r="AO167" i="1"/>
  <c r="AN168" i="1"/>
  <c r="AO168" i="1" s="1"/>
  <c r="AN169" i="1"/>
  <c r="AO169" i="1" s="1"/>
  <c r="AN170" i="1"/>
  <c r="AO170" i="1" s="1"/>
  <c r="AN171" i="1"/>
  <c r="AO171" i="1"/>
  <c r="AN172" i="1"/>
  <c r="AO172" i="1" s="1"/>
  <c r="AN173" i="1"/>
  <c r="AO173" i="1" s="1"/>
  <c r="AN174" i="1"/>
  <c r="AO174" i="1" s="1"/>
  <c r="AN175" i="1"/>
  <c r="AO175" i="1"/>
  <c r="AN176" i="1"/>
  <c r="AO176" i="1" s="1"/>
  <c r="AN177" i="1"/>
  <c r="AO177" i="1" s="1"/>
  <c r="AN178" i="1"/>
  <c r="AO178" i="1" s="1"/>
  <c r="AN179" i="1"/>
  <c r="AO179" i="1"/>
  <c r="AN180" i="1"/>
  <c r="AO180" i="1" s="1"/>
  <c r="AN181" i="1"/>
  <c r="AO181" i="1" s="1"/>
  <c r="AN182" i="1"/>
  <c r="AO182" i="1" s="1"/>
  <c r="AN183" i="1"/>
  <c r="AO183" i="1"/>
  <c r="AN184" i="1"/>
  <c r="AO184" i="1" s="1"/>
  <c r="AN185" i="1"/>
  <c r="AO185" i="1" s="1"/>
  <c r="AN186" i="1"/>
  <c r="AO186" i="1" s="1"/>
  <c r="AN187" i="1"/>
  <c r="AO187" i="1"/>
  <c r="AN188" i="1"/>
  <c r="AO188" i="1" s="1"/>
  <c r="AN189" i="1"/>
  <c r="AO189" i="1" s="1"/>
  <c r="AN190" i="1"/>
  <c r="AO190" i="1" s="1"/>
  <c r="AN191" i="1"/>
  <c r="AO191" i="1"/>
  <c r="AN192" i="1"/>
  <c r="AO192" i="1" s="1"/>
  <c r="AN193" i="1"/>
  <c r="AO193" i="1" s="1"/>
  <c r="AN194" i="1"/>
  <c r="AO194" i="1" s="1"/>
  <c r="AN195" i="1"/>
  <c r="AO195" i="1"/>
  <c r="AN196" i="1"/>
  <c r="AO196" i="1" s="1"/>
  <c r="AN197" i="1"/>
  <c r="AO197" i="1" s="1"/>
  <c r="AN198" i="1"/>
  <c r="AO198" i="1" s="1"/>
  <c r="AN199" i="1"/>
  <c r="AO199" i="1"/>
  <c r="AN200" i="1"/>
  <c r="AO200" i="1" s="1"/>
  <c r="AN201" i="1"/>
  <c r="AO201" i="1" s="1"/>
  <c r="AN202" i="1"/>
  <c r="AO202" i="1" s="1"/>
  <c r="AN203" i="1"/>
  <c r="AO203" i="1"/>
  <c r="AN204" i="1"/>
  <c r="AO204" i="1" s="1"/>
  <c r="AN205" i="1"/>
  <c r="AO205" i="1" s="1"/>
  <c r="AN206" i="1"/>
  <c r="AO206" i="1" s="1"/>
  <c r="AN207" i="1"/>
  <c r="AO207" i="1"/>
  <c r="AN208" i="1"/>
  <c r="AO208" i="1" s="1"/>
  <c r="AN209" i="1"/>
  <c r="AO209" i="1" s="1"/>
  <c r="AN210" i="1"/>
  <c r="AO210" i="1" s="1"/>
  <c r="AN211" i="1"/>
  <c r="AO211" i="1"/>
  <c r="AN212" i="1"/>
  <c r="AO212" i="1" s="1"/>
  <c r="AN213" i="1"/>
  <c r="AO213" i="1" s="1"/>
  <c r="AN214" i="1"/>
  <c r="AO214" i="1" s="1"/>
  <c r="AN215" i="1"/>
  <c r="AO215" i="1"/>
  <c r="AN216" i="1"/>
  <c r="AO216" i="1" s="1"/>
  <c r="AN217" i="1"/>
  <c r="AO217" i="1" s="1"/>
  <c r="AN218" i="1"/>
  <c r="AO218" i="1" s="1"/>
  <c r="AN219" i="1"/>
  <c r="AO219" i="1"/>
  <c r="AN220" i="1"/>
  <c r="AO220" i="1" s="1"/>
  <c r="AH25" i="1"/>
  <c r="AI25" i="1" s="1"/>
  <c r="AH26" i="1"/>
  <c r="AI26" i="1" s="1"/>
  <c r="AH27" i="1"/>
  <c r="AI27" i="1"/>
  <c r="AH28" i="1"/>
  <c r="AI28" i="1"/>
  <c r="AH29" i="1"/>
  <c r="AI29" i="1" s="1"/>
  <c r="AH30" i="1"/>
  <c r="AI30" i="1" s="1"/>
  <c r="AH31" i="1"/>
  <c r="AI31" i="1"/>
  <c r="AH32" i="1"/>
  <c r="AI32" i="1"/>
  <c r="AH33" i="1"/>
  <c r="AI33" i="1" s="1"/>
  <c r="AH34" i="1"/>
  <c r="AI34" i="1" s="1"/>
  <c r="AH35" i="1"/>
  <c r="AI35" i="1"/>
  <c r="AH36" i="1"/>
  <c r="AI36" i="1"/>
  <c r="AH37" i="1"/>
  <c r="AI37" i="1" s="1"/>
  <c r="AH38" i="1"/>
  <c r="AI38" i="1" s="1"/>
  <c r="AH39" i="1"/>
  <c r="AI39" i="1"/>
  <c r="AH40" i="1"/>
  <c r="AI40" i="1"/>
  <c r="AH41" i="1"/>
  <c r="AI41" i="1" s="1"/>
  <c r="AH42" i="1"/>
  <c r="AI42" i="1" s="1"/>
  <c r="AH43" i="1"/>
  <c r="AI43" i="1"/>
  <c r="AH44" i="1"/>
  <c r="AI44" i="1"/>
  <c r="AH45" i="1"/>
  <c r="AI45" i="1" s="1"/>
  <c r="AH46" i="1"/>
  <c r="AI46" i="1" s="1"/>
  <c r="AH47" i="1"/>
  <c r="AI47" i="1"/>
  <c r="AH48" i="1"/>
  <c r="AI48" i="1"/>
  <c r="AH49" i="1"/>
  <c r="AI49" i="1" s="1"/>
  <c r="AH50" i="1"/>
  <c r="AI50" i="1" s="1"/>
  <c r="AH51" i="1"/>
  <c r="AI51" i="1"/>
  <c r="AH52" i="1"/>
  <c r="AI52" i="1"/>
  <c r="AH53" i="1"/>
  <c r="AI53" i="1" s="1"/>
  <c r="AH54" i="1"/>
  <c r="AI54" i="1" s="1"/>
  <c r="AH55" i="1"/>
  <c r="AI55" i="1"/>
  <c r="AH56" i="1"/>
  <c r="AI56" i="1"/>
  <c r="AH57" i="1"/>
  <c r="AI57" i="1" s="1"/>
  <c r="AH58" i="1"/>
  <c r="AI58" i="1" s="1"/>
  <c r="AH59" i="1"/>
  <c r="AI59" i="1"/>
  <c r="AH60" i="1"/>
  <c r="AI60" i="1"/>
  <c r="AH61" i="1"/>
  <c r="AI61" i="1" s="1"/>
  <c r="AH62" i="1"/>
  <c r="AI62" i="1" s="1"/>
  <c r="AH63" i="1"/>
  <c r="AI63" i="1"/>
  <c r="AH64" i="1"/>
  <c r="AI64" i="1"/>
  <c r="AH65" i="1"/>
  <c r="AI65" i="1" s="1"/>
  <c r="AH66" i="1"/>
  <c r="AI66" i="1" s="1"/>
  <c r="AH67" i="1"/>
  <c r="AI67" i="1"/>
  <c r="AH68" i="1"/>
  <c r="AI68" i="1"/>
  <c r="AH69" i="1"/>
  <c r="AI69" i="1" s="1"/>
  <c r="AH70" i="1"/>
  <c r="AI70" i="1" s="1"/>
  <c r="AH71" i="1"/>
  <c r="AI71" i="1"/>
  <c r="AH72" i="1"/>
  <c r="AI72" i="1"/>
  <c r="AH73" i="1"/>
  <c r="AI73" i="1" s="1"/>
  <c r="AH74" i="1"/>
  <c r="AI74" i="1" s="1"/>
  <c r="AH75" i="1"/>
  <c r="AI75" i="1"/>
  <c r="AH76" i="1"/>
  <c r="AI76" i="1"/>
  <c r="AH77" i="1"/>
  <c r="AI77" i="1" s="1"/>
  <c r="AH78" i="1"/>
  <c r="AI78" i="1" s="1"/>
  <c r="AH79" i="1"/>
  <c r="AI79" i="1"/>
  <c r="AH80" i="1"/>
  <c r="AI80" i="1"/>
  <c r="AH81" i="1"/>
  <c r="AI81" i="1" s="1"/>
  <c r="AH82" i="1"/>
  <c r="AI82" i="1" s="1"/>
  <c r="AH83" i="1"/>
  <c r="AI83" i="1"/>
  <c r="AH84" i="1"/>
  <c r="AI84" i="1"/>
  <c r="AH85" i="1"/>
  <c r="AI85" i="1" s="1"/>
  <c r="AH86" i="1"/>
  <c r="AI86" i="1" s="1"/>
  <c r="AH87" i="1"/>
  <c r="AI87" i="1"/>
  <c r="AH88" i="1"/>
  <c r="AI88" i="1"/>
  <c r="AH89" i="1"/>
  <c r="AI89" i="1" s="1"/>
  <c r="AH90" i="1"/>
  <c r="AI90" i="1" s="1"/>
  <c r="AH91" i="1"/>
  <c r="AI91" i="1"/>
  <c r="AH92" i="1"/>
  <c r="AI92" i="1"/>
  <c r="AH93" i="1"/>
  <c r="AI93" i="1" s="1"/>
  <c r="AH94" i="1"/>
  <c r="AI94" i="1" s="1"/>
  <c r="AH95" i="1"/>
  <c r="AI95" i="1"/>
  <c r="AH96" i="1"/>
  <c r="AI96" i="1"/>
  <c r="AH97" i="1"/>
  <c r="AI97" i="1" s="1"/>
  <c r="AH98" i="1"/>
  <c r="AI98" i="1" s="1"/>
  <c r="AH99" i="1"/>
  <c r="AI99" i="1"/>
  <c r="AH100" i="1"/>
  <c r="AI100" i="1"/>
  <c r="AH101" i="1"/>
  <c r="AI101" i="1" s="1"/>
  <c r="AH102" i="1"/>
  <c r="AI102" i="1" s="1"/>
  <c r="AH103" i="1"/>
  <c r="AI103" i="1"/>
  <c r="AH104" i="1"/>
  <c r="AI104" i="1"/>
  <c r="AH105" i="1"/>
  <c r="AI105" i="1" s="1"/>
  <c r="AH106" i="1"/>
  <c r="AI106" i="1" s="1"/>
  <c r="AH107" i="1"/>
  <c r="AI107" i="1"/>
  <c r="AH108" i="1"/>
  <c r="AI108" i="1"/>
  <c r="AH109" i="1"/>
  <c r="AI109" i="1" s="1"/>
  <c r="AH110" i="1"/>
  <c r="AI110" i="1" s="1"/>
  <c r="AH111" i="1"/>
  <c r="AI111" i="1"/>
  <c r="AH112" i="1"/>
  <c r="AI112" i="1"/>
  <c r="AH113" i="1"/>
  <c r="AI113" i="1" s="1"/>
  <c r="AH114" i="1"/>
  <c r="AI114" i="1" s="1"/>
  <c r="AH115" i="1"/>
  <c r="AI115" i="1"/>
  <c r="AH116" i="1"/>
  <c r="AI116" i="1"/>
  <c r="AH117" i="1"/>
  <c r="AI117" i="1" s="1"/>
  <c r="AH118" i="1"/>
  <c r="AI118" i="1" s="1"/>
  <c r="AH119" i="1"/>
  <c r="AI119" i="1"/>
  <c r="AH120" i="1"/>
  <c r="AI120" i="1"/>
  <c r="AH121" i="1"/>
  <c r="AI121" i="1" s="1"/>
  <c r="AH122" i="1"/>
  <c r="AI122" i="1" s="1"/>
  <c r="AH123" i="1"/>
  <c r="AI123" i="1"/>
  <c r="AH124" i="1"/>
  <c r="AI124" i="1"/>
  <c r="AH125" i="1"/>
  <c r="AI125" i="1" s="1"/>
  <c r="AH126" i="1"/>
  <c r="AI126" i="1" s="1"/>
  <c r="AH127" i="1"/>
  <c r="AI127" i="1"/>
  <c r="AH128" i="1"/>
  <c r="AI128" i="1"/>
  <c r="AH129" i="1"/>
  <c r="AI129" i="1" s="1"/>
  <c r="AH130" i="1"/>
  <c r="AI130" i="1" s="1"/>
  <c r="AH131" i="1"/>
  <c r="AI131" i="1"/>
  <c r="AH132" i="1"/>
  <c r="AI132" i="1"/>
  <c r="AH133" i="1"/>
  <c r="AI133" i="1" s="1"/>
  <c r="AH134" i="1"/>
  <c r="AI134" i="1" s="1"/>
  <c r="AH135" i="1"/>
  <c r="AI135" i="1"/>
  <c r="AH136" i="1"/>
  <c r="AI136" i="1"/>
  <c r="AH137" i="1"/>
  <c r="AI137" i="1" s="1"/>
  <c r="AH138" i="1"/>
  <c r="AI138" i="1" s="1"/>
  <c r="AH139" i="1"/>
  <c r="AI139" i="1"/>
  <c r="AH140" i="1"/>
  <c r="AI140" i="1"/>
  <c r="AH141" i="1"/>
  <c r="AI141" i="1" s="1"/>
  <c r="AH142" i="1"/>
  <c r="AI142" i="1" s="1"/>
  <c r="AH143" i="1"/>
  <c r="AI143" i="1"/>
  <c r="AH144" i="1"/>
  <c r="AI144" i="1"/>
  <c r="AH145" i="1"/>
  <c r="AI145" i="1" s="1"/>
  <c r="AH146" i="1"/>
  <c r="AI146" i="1" s="1"/>
  <c r="AH147" i="1"/>
  <c r="AI147" i="1"/>
  <c r="AH148" i="1"/>
  <c r="AI148" i="1"/>
  <c r="AH149" i="1"/>
  <c r="AI149" i="1" s="1"/>
  <c r="AH150" i="1"/>
  <c r="AI150" i="1" s="1"/>
  <c r="AH151" i="1"/>
  <c r="AI151" i="1"/>
  <c r="AH152" i="1"/>
  <c r="AI152" i="1"/>
  <c r="AH153" i="1"/>
  <c r="AI153" i="1" s="1"/>
  <c r="AH154" i="1"/>
  <c r="AI154" i="1" s="1"/>
  <c r="AH155" i="1"/>
  <c r="AI155" i="1"/>
  <c r="AH156" i="1"/>
  <c r="AI156" i="1"/>
  <c r="AH157" i="1"/>
  <c r="AI157" i="1" s="1"/>
  <c r="AH158" i="1"/>
  <c r="AI158" i="1" s="1"/>
  <c r="AH159" i="1"/>
  <c r="AI159" i="1"/>
  <c r="AH160" i="1"/>
  <c r="AI160" i="1"/>
  <c r="AH161" i="1"/>
  <c r="AI161" i="1" s="1"/>
  <c r="AH162" i="1"/>
  <c r="AI162" i="1" s="1"/>
  <c r="AH163" i="1"/>
  <c r="AI163" i="1"/>
  <c r="AH164" i="1"/>
  <c r="AI164" i="1"/>
  <c r="AH165" i="1"/>
  <c r="AI165" i="1" s="1"/>
  <c r="AH166" i="1"/>
  <c r="AI166" i="1" s="1"/>
  <c r="AH167" i="1"/>
  <c r="AI167" i="1"/>
  <c r="AH168" i="1"/>
  <c r="AI168" i="1"/>
  <c r="AH169" i="1"/>
  <c r="AI169" i="1" s="1"/>
  <c r="AH170" i="1"/>
  <c r="AI170" i="1" s="1"/>
  <c r="AH171" i="1"/>
  <c r="AI171" i="1"/>
  <c r="AH172" i="1"/>
  <c r="AI172" i="1"/>
  <c r="AH173" i="1"/>
  <c r="AI173" i="1" s="1"/>
  <c r="AH174" i="1"/>
  <c r="AI174" i="1" s="1"/>
  <c r="AH175" i="1"/>
  <c r="AI175" i="1"/>
  <c r="AH176" i="1"/>
  <c r="AI176" i="1"/>
  <c r="AH177" i="1"/>
  <c r="AI177" i="1" s="1"/>
  <c r="AH178" i="1"/>
  <c r="AI178" i="1" s="1"/>
  <c r="AH179" i="1"/>
  <c r="AI179" i="1"/>
  <c r="AH180" i="1"/>
  <c r="AI180" i="1"/>
  <c r="AH181" i="1"/>
  <c r="AI181" i="1" s="1"/>
  <c r="AH182" i="1"/>
  <c r="AI182" i="1" s="1"/>
  <c r="AH183" i="1"/>
  <c r="AI183" i="1"/>
  <c r="AH184" i="1"/>
  <c r="AI184" i="1"/>
  <c r="AH185" i="1"/>
  <c r="AI185" i="1" s="1"/>
  <c r="AH186" i="1"/>
  <c r="AI186" i="1" s="1"/>
  <c r="AH187" i="1"/>
  <c r="AI187" i="1"/>
  <c r="AH188" i="1"/>
  <c r="AI188" i="1"/>
  <c r="AH189" i="1"/>
  <c r="AI189" i="1" s="1"/>
  <c r="AH190" i="1"/>
  <c r="AI190" i="1" s="1"/>
  <c r="AH191" i="1"/>
  <c r="AI191" i="1"/>
  <c r="AH192" i="1"/>
  <c r="AI192" i="1"/>
  <c r="AH193" i="1"/>
  <c r="AI193" i="1" s="1"/>
  <c r="AH194" i="1"/>
  <c r="AI194" i="1" s="1"/>
  <c r="AH195" i="1"/>
  <c r="AI195" i="1"/>
  <c r="AH196" i="1"/>
  <c r="AI196" i="1"/>
  <c r="AH197" i="1"/>
  <c r="AI197" i="1" s="1"/>
  <c r="AH198" i="1"/>
  <c r="AI198" i="1" s="1"/>
  <c r="AH199" i="1"/>
  <c r="AI199" i="1"/>
  <c r="AH200" i="1"/>
  <c r="AI200" i="1"/>
  <c r="AH201" i="1"/>
  <c r="AI201" i="1" s="1"/>
  <c r="AH202" i="1"/>
  <c r="AI202" i="1" s="1"/>
  <c r="AH203" i="1"/>
  <c r="AI203" i="1"/>
  <c r="AH204" i="1"/>
  <c r="AI204" i="1"/>
  <c r="AH205" i="1"/>
  <c r="AI205" i="1" s="1"/>
  <c r="AH206" i="1"/>
  <c r="AI206" i="1" s="1"/>
  <c r="AH207" i="1"/>
  <c r="AI207" i="1"/>
  <c r="AH208" i="1"/>
  <c r="AI208" i="1"/>
  <c r="AH209" i="1"/>
  <c r="AI209" i="1" s="1"/>
  <c r="AH210" i="1"/>
  <c r="AI210" i="1" s="1"/>
  <c r="AH211" i="1"/>
  <c r="AI211" i="1"/>
  <c r="AH212" i="1"/>
  <c r="AI212" i="1"/>
  <c r="AH213" i="1"/>
  <c r="AI213" i="1" s="1"/>
  <c r="AH214" i="1"/>
  <c r="AI214" i="1" s="1"/>
  <c r="AH215" i="1"/>
  <c r="AI215" i="1"/>
  <c r="AH216" i="1"/>
  <c r="AI216" i="1"/>
  <c r="AH217" i="1"/>
  <c r="AI217" i="1" s="1"/>
  <c r="AH218" i="1"/>
  <c r="AI218" i="1" s="1"/>
  <c r="AH219" i="1"/>
  <c r="AI219" i="1"/>
  <c r="AH220" i="1"/>
  <c r="AI220" i="1"/>
  <c r="AB25" i="1"/>
  <c r="AC25" i="1" s="1"/>
  <c r="AB26" i="1"/>
  <c r="AC26" i="1" s="1"/>
  <c r="AB27" i="1"/>
  <c r="AC27" i="1"/>
  <c r="AB28" i="1"/>
  <c r="AC28" i="1" s="1"/>
  <c r="AB29" i="1"/>
  <c r="AC29" i="1" s="1"/>
  <c r="AB30" i="1"/>
  <c r="AC30" i="1" s="1"/>
  <c r="AB31" i="1"/>
  <c r="AC31" i="1"/>
  <c r="AB32" i="1"/>
  <c r="AC32" i="1" s="1"/>
  <c r="AB33" i="1"/>
  <c r="AC33" i="1" s="1"/>
  <c r="AB34" i="1"/>
  <c r="AC34" i="1" s="1"/>
  <c r="AB35" i="1"/>
  <c r="AC35" i="1"/>
  <c r="AB36" i="1"/>
  <c r="AC36" i="1" s="1"/>
  <c r="AB37" i="1"/>
  <c r="AC37" i="1" s="1"/>
  <c r="AB38" i="1"/>
  <c r="AC38" i="1" s="1"/>
  <c r="AB39" i="1"/>
  <c r="AC39" i="1"/>
  <c r="AB40" i="1"/>
  <c r="AC40" i="1" s="1"/>
  <c r="AB41" i="1"/>
  <c r="AC41" i="1" s="1"/>
  <c r="AB42" i="1"/>
  <c r="AC42" i="1" s="1"/>
  <c r="AB43" i="1"/>
  <c r="AC43" i="1"/>
  <c r="AB44" i="1"/>
  <c r="AC44" i="1" s="1"/>
  <c r="AB45" i="1"/>
  <c r="AC45" i="1" s="1"/>
  <c r="AB46" i="1"/>
  <c r="AC46" i="1" s="1"/>
  <c r="AB47" i="1"/>
  <c r="AC47" i="1"/>
  <c r="AB48" i="1"/>
  <c r="AC48" i="1" s="1"/>
  <c r="AB49" i="1"/>
  <c r="AC49" i="1" s="1"/>
  <c r="AB50" i="1"/>
  <c r="AC50" i="1" s="1"/>
  <c r="AB51" i="1"/>
  <c r="AC51" i="1"/>
  <c r="AB52" i="1"/>
  <c r="AC52" i="1" s="1"/>
  <c r="AB53" i="1"/>
  <c r="AC53" i="1" s="1"/>
  <c r="AB54" i="1"/>
  <c r="AC54" i="1" s="1"/>
  <c r="AB55" i="1"/>
  <c r="AC55" i="1"/>
  <c r="AB56" i="1"/>
  <c r="AC56" i="1" s="1"/>
  <c r="AB57" i="1"/>
  <c r="AC57" i="1" s="1"/>
  <c r="AB58" i="1"/>
  <c r="AC58" i="1" s="1"/>
  <c r="AB59" i="1"/>
  <c r="AC59" i="1"/>
  <c r="AB60" i="1"/>
  <c r="AC60" i="1" s="1"/>
  <c r="AB61" i="1"/>
  <c r="AC61" i="1" s="1"/>
  <c r="AB62" i="1"/>
  <c r="AC62" i="1" s="1"/>
  <c r="AB63" i="1"/>
  <c r="AC63" i="1"/>
  <c r="AB64" i="1"/>
  <c r="AC64" i="1" s="1"/>
  <c r="AB65" i="1"/>
  <c r="AC65" i="1" s="1"/>
  <c r="AB66" i="1"/>
  <c r="AC66" i="1" s="1"/>
  <c r="AB67" i="1"/>
  <c r="AC67" i="1"/>
  <c r="AB68" i="1"/>
  <c r="AC68" i="1" s="1"/>
  <c r="AB69" i="1"/>
  <c r="AC69" i="1" s="1"/>
  <c r="AB70" i="1"/>
  <c r="AC70" i="1" s="1"/>
  <c r="AB71" i="1"/>
  <c r="AC71" i="1"/>
  <c r="AB72" i="1"/>
  <c r="AC72" i="1" s="1"/>
  <c r="AB73" i="1"/>
  <c r="AC73" i="1" s="1"/>
  <c r="AB74" i="1"/>
  <c r="AC74" i="1" s="1"/>
  <c r="AB75" i="1"/>
  <c r="AC75" i="1"/>
  <c r="AB76" i="1"/>
  <c r="AC76" i="1" s="1"/>
  <c r="AB77" i="1"/>
  <c r="AC77" i="1" s="1"/>
  <c r="AB78" i="1"/>
  <c r="AC78" i="1" s="1"/>
  <c r="AB79" i="1"/>
  <c r="AC79" i="1"/>
  <c r="AB80" i="1"/>
  <c r="AC80" i="1" s="1"/>
  <c r="AB81" i="1"/>
  <c r="AC81" i="1" s="1"/>
  <c r="AB82" i="1"/>
  <c r="AC82" i="1" s="1"/>
  <c r="AB83" i="1"/>
  <c r="AC83" i="1"/>
  <c r="AB84" i="1"/>
  <c r="AC84" i="1" s="1"/>
  <c r="AB85" i="1"/>
  <c r="AC85" i="1" s="1"/>
  <c r="AB86" i="1"/>
  <c r="AC86" i="1" s="1"/>
  <c r="AB87" i="1"/>
  <c r="AC87" i="1"/>
  <c r="AB88" i="1"/>
  <c r="AC88" i="1" s="1"/>
  <c r="AB89" i="1"/>
  <c r="AC89" i="1" s="1"/>
  <c r="AB90" i="1"/>
  <c r="AC90" i="1" s="1"/>
  <c r="AB91" i="1"/>
  <c r="AC91" i="1"/>
  <c r="AB92" i="1"/>
  <c r="AC92" i="1" s="1"/>
  <c r="AB93" i="1"/>
  <c r="AC93" i="1" s="1"/>
  <c r="AB94" i="1"/>
  <c r="AC94" i="1" s="1"/>
  <c r="AB95" i="1"/>
  <c r="AC95" i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/>
  <c r="AB104" i="1"/>
  <c r="AC104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6" i="1"/>
  <c r="AC126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V25" i="1"/>
  <c r="W25" i="1" s="1"/>
  <c r="V26" i="1"/>
  <c r="W26" i="1" s="1"/>
  <c r="V27" i="1"/>
  <c r="W27" i="1"/>
  <c r="V28" i="1"/>
  <c r="W28" i="1"/>
  <c r="V29" i="1"/>
  <c r="W29" i="1" s="1"/>
  <c r="V30" i="1"/>
  <c r="W30" i="1" s="1"/>
  <c r="V31" i="1"/>
  <c r="W31" i="1"/>
  <c r="V32" i="1"/>
  <c r="W32" i="1"/>
  <c r="V33" i="1"/>
  <c r="W33" i="1" s="1"/>
  <c r="V34" i="1"/>
  <c r="W34" i="1" s="1"/>
  <c r="V35" i="1"/>
  <c r="W35" i="1"/>
  <c r="V36" i="1"/>
  <c r="W36" i="1"/>
  <c r="V37" i="1"/>
  <c r="W37" i="1" s="1"/>
  <c r="V38" i="1"/>
  <c r="W38" i="1" s="1"/>
  <c r="V39" i="1"/>
  <c r="W39" i="1"/>
  <c r="V40" i="1"/>
  <c r="W40" i="1"/>
  <c r="V41" i="1"/>
  <c r="W41" i="1" s="1"/>
  <c r="V42" i="1"/>
  <c r="W42" i="1" s="1"/>
  <c r="V43" i="1"/>
  <c r="W43" i="1"/>
  <c r="V44" i="1"/>
  <c r="W44" i="1"/>
  <c r="V45" i="1"/>
  <c r="W45" i="1" s="1"/>
  <c r="V46" i="1"/>
  <c r="W46" i="1" s="1"/>
  <c r="V47" i="1"/>
  <c r="W47" i="1"/>
  <c r="V48" i="1"/>
  <c r="W48" i="1"/>
  <c r="V49" i="1"/>
  <c r="W49" i="1" s="1"/>
  <c r="V50" i="1"/>
  <c r="W50" i="1" s="1"/>
  <c r="V51" i="1"/>
  <c r="W51" i="1"/>
  <c r="V52" i="1"/>
  <c r="W52" i="1"/>
  <c r="V53" i="1"/>
  <c r="W53" i="1" s="1"/>
  <c r="V54" i="1"/>
  <c r="W54" i="1" s="1"/>
  <c r="V55" i="1"/>
  <c r="W55" i="1"/>
  <c r="V56" i="1"/>
  <c r="W56" i="1"/>
  <c r="V57" i="1"/>
  <c r="W57" i="1" s="1"/>
  <c r="V58" i="1"/>
  <c r="W58" i="1" s="1"/>
  <c r="V59" i="1"/>
  <c r="W59" i="1"/>
  <c r="V60" i="1"/>
  <c r="W60" i="1"/>
  <c r="V61" i="1"/>
  <c r="W61" i="1" s="1"/>
  <c r="V62" i="1"/>
  <c r="W62" i="1" s="1"/>
  <c r="V63" i="1"/>
  <c r="W63" i="1"/>
  <c r="V64" i="1"/>
  <c r="W64" i="1"/>
  <c r="V65" i="1"/>
  <c r="W65" i="1" s="1"/>
  <c r="V66" i="1"/>
  <c r="W66" i="1" s="1"/>
  <c r="V67" i="1"/>
  <c r="W67" i="1"/>
  <c r="V68" i="1"/>
  <c r="W68" i="1"/>
  <c r="V69" i="1"/>
  <c r="W69" i="1" s="1"/>
  <c r="V70" i="1"/>
  <c r="W70" i="1" s="1"/>
  <c r="V71" i="1"/>
  <c r="W71" i="1"/>
  <c r="V72" i="1"/>
  <c r="W72" i="1"/>
  <c r="V73" i="1"/>
  <c r="W73" i="1" s="1"/>
  <c r="V74" i="1"/>
  <c r="W74" i="1" s="1"/>
  <c r="V75" i="1"/>
  <c r="W75" i="1"/>
  <c r="V76" i="1"/>
  <c r="W76" i="1"/>
  <c r="V77" i="1"/>
  <c r="W77" i="1" s="1"/>
  <c r="V78" i="1"/>
  <c r="W78" i="1" s="1"/>
  <c r="V79" i="1"/>
  <c r="W79" i="1"/>
  <c r="V80" i="1"/>
  <c r="W80" i="1"/>
  <c r="V81" i="1"/>
  <c r="W81" i="1" s="1"/>
  <c r="V82" i="1"/>
  <c r="W82" i="1" s="1"/>
  <c r="V83" i="1"/>
  <c r="W83" i="1"/>
  <c r="V84" i="1"/>
  <c r="W84" i="1"/>
  <c r="V85" i="1"/>
  <c r="W85" i="1" s="1"/>
  <c r="V86" i="1"/>
  <c r="W86" i="1" s="1"/>
  <c r="V87" i="1"/>
  <c r="W87" i="1"/>
  <c r="V88" i="1"/>
  <c r="W88" i="1"/>
  <c r="V89" i="1"/>
  <c r="W89" i="1" s="1"/>
  <c r="V90" i="1"/>
  <c r="W90" i="1" s="1"/>
  <c r="V91" i="1"/>
  <c r="W91" i="1"/>
  <c r="V92" i="1"/>
  <c r="W92" i="1"/>
  <c r="V93" i="1"/>
  <c r="W93" i="1" s="1"/>
  <c r="V94" i="1"/>
  <c r="W94" i="1" s="1"/>
  <c r="V95" i="1"/>
  <c r="W95" i="1"/>
  <c r="V96" i="1"/>
  <c r="W96" i="1"/>
  <c r="V97" i="1"/>
  <c r="W97" i="1" s="1"/>
  <c r="V98" i="1"/>
  <c r="W98" i="1" s="1"/>
  <c r="V99" i="1"/>
  <c r="W99" i="1"/>
  <c r="V100" i="1"/>
  <c r="W100" i="1"/>
  <c r="V101" i="1"/>
  <c r="W101" i="1" s="1"/>
  <c r="V102" i="1"/>
  <c r="W102" i="1" s="1"/>
  <c r="V103" i="1"/>
  <c r="W103" i="1"/>
  <c r="V104" i="1"/>
  <c r="W104" i="1"/>
  <c r="V105" i="1"/>
  <c r="W105" i="1" s="1"/>
  <c r="V106" i="1"/>
  <c r="W106" i="1" s="1"/>
  <c r="V107" i="1"/>
  <c r="W107" i="1"/>
  <c r="V108" i="1"/>
  <c r="W108" i="1"/>
  <c r="V109" i="1"/>
  <c r="W109" i="1" s="1"/>
  <c r="V110" i="1"/>
  <c r="W110" i="1" s="1"/>
  <c r="V111" i="1"/>
  <c r="W111" i="1"/>
  <c r="V112" i="1"/>
  <c r="W112" i="1"/>
  <c r="V113" i="1"/>
  <c r="W113" i="1" s="1"/>
  <c r="V114" i="1"/>
  <c r="W114" i="1" s="1"/>
  <c r="V115" i="1"/>
  <c r="W115" i="1"/>
  <c r="V116" i="1"/>
  <c r="W116" i="1"/>
  <c r="V117" i="1"/>
  <c r="W117" i="1" s="1"/>
  <c r="V118" i="1"/>
  <c r="W118" i="1" s="1"/>
  <c r="V119" i="1"/>
  <c r="W119" i="1"/>
  <c r="V120" i="1"/>
  <c r="W120" i="1"/>
  <c r="V121" i="1"/>
  <c r="W121" i="1" s="1"/>
  <c r="V122" i="1"/>
  <c r="W122" i="1" s="1"/>
  <c r="V123" i="1"/>
  <c r="W123" i="1"/>
  <c r="V124" i="1"/>
  <c r="W124" i="1"/>
  <c r="V125" i="1"/>
  <c r="W125" i="1" s="1"/>
  <c r="V126" i="1"/>
  <c r="W126" i="1" s="1"/>
  <c r="V127" i="1"/>
  <c r="W127" i="1"/>
  <c r="V128" i="1"/>
  <c r="W128" i="1"/>
  <c r="V129" i="1"/>
  <c r="W129" i="1" s="1"/>
  <c r="V130" i="1"/>
  <c r="W130" i="1" s="1"/>
  <c r="V131" i="1"/>
  <c r="W131" i="1"/>
  <c r="V132" i="1"/>
  <c r="W132" i="1"/>
  <c r="V133" i="1"/>
  <c r="W133" i="1" s="1"/>
  <c r="V134" i="1"/>
  <c r="W134" i="1" s="1"/>
  <c r="V135" i="1"/>
  <c r="W135" i="1"/>
  <c r="V136" i="1"/>
  <c r="W136" i="1"/>
  <c r="V137" i="1"/>
  <c r="W137" i="1" s="1"/>
  <c r="V138" i="1"/>
  <c r="W138" i="1" s="1"/>
  <c r="V139" i="1"/>
  <c r="W139" i="1"/>
  <c r="V140" i="1"/>
  <c r="W140" i="1"/>
  <c r="V141" i="1"/>
  <c r="W141" i="1" s="1"/>
  <c r="V142" i="1"/>
  <c r="W142" i="1" s="1"/>
  <c r="V143" i="1"/>
  <c r="W143" i="1"/>
  <c r="V144" i="1"/>
  <c r="W144" i="1"/>
  <c r="V145" i="1"/>
  <c r="W145" i="1" s="1"/>
  <c r="V146" i="1"/>
  <c r="W146" i="1" s="1"/>
  <c r="V147" i="1"/>
  <c r="W147" i="1"/>
  <c r="V148" i="1"/>
  <c r="W148" i="1"/>
  <c r="V149" i="1"/>
  <c r="W149" i="1" s="1"/>
  <c r="V150" i="1"/>
  <c r="W150" i="1" s="1"/>
  <c r="V151" i="1"/>
  <c r="W151" i="1"/>
  <c r="V152" i="1"/>
  <c r="W152" i="1"/>
  <c r="V153" i="1"/>
  <c r="W153" i="1" s="1"/>
  <c r="V154" i="1"/>
  <c r="W154" i="1" s="1"/>
  <c r="V155" i="1"/>
  <c r="W155" i="1"/>
  <c r="V156" i="1"/>
  <c r="W156" i="1"/>
  <c r="V157" i="1"/>
  <c r="W157" i="1" s="1"/>
  <c r="V158" i="1"/>
  <c r="W158" i="1" s="1"/>
  <c r="V159" i="1"/>
  <c r="W159" i="1"/>
  <c r="V160" i="1"/>
  <c r="W160" i="1"/>
  <c r="V161" i="1"/>
  <c r="W161" i="1" s="1"/>
  <c r="V162" i="1"/>
  <c r="W162" i="1" s="1"/>
  <c r="V163" i="1"/>
  <c r="W163" i="1"/>
  <c r="V164" i="1"/>
  <c r="W164" i="1"/>
  <c r="V165" i="1"/>
  <c r="W165" i="1" s="1"/>
  <c r="V166" i="1"/>
  <c r="W166" i="1" s="1"/>
  <c r="V167" i="1"/>
  <c r="W167" i="1"/>
  <c r="V168" i="1"/>
  <c r="W168" i="1"/>
  <c r="V169" i="1"/>
  <c r="W169" i="1" s="1"/>
  <c r="V170" i="1"/>
  <c r="W170" i="1" s="1"/>
  <c r="V171" i="1"/>
  <c r="W171" i="1"/>
  <c r="V172" i="1"/>
  <c r="W172" i="1"/>
  <c r="V173" i="1"/>
  <c r="W173" i="1" s="1"/>
  <c r="V174" i="1"/>
  <c r="W174" i="1" s="1"/>
  <c r="V175" i="1"/>
  <c r="W175" i="1"/>
  <c r="V176" i="1"/>
  <c r="W176" i="1"/>
  <c r="V177" i="1"/>
  <c r="W177" i="1" s="1"/>
  <c r="V178" i="1"/>
  <c r="W178" i="1" s="1"/>
  <c r="V179" i="1"/>
  <c r="W179" i="1"/>
  <c r="V180" i="1"/>
  <c r="W180" i="1"/>
  <c r="V181" i="1"/>
  <c r="W181" i="1" s="1"/>
  <c r="V182" i="1"/>
  <c r="W182" i="1" s="1"/>
  <c r="V183" i="1"/>
  <c r="W183" i="1"/>
  <c r="V184" i="1"/>
  <c r="W184" i="1"/>
  <c r="V185" i="1"/>
  <c r="W185" i="1" s="1"/>
  <c r="V186" i="1"/>
  <c r="W186" i="1" s="1"/>
  <c r="V187" i="1"/>
  <c r="W187" i="1"/>
  <c r="V188" i="1"/>
  <c r="W188" i="1"/>
  <c r="V189" i="1"/>
  <c r="W189" i="1" s="1"/>
  <c r="V190" i="1"/>
  <c r="W190" i="1" s="1"/>
  <c r="V191" i="1"/>
  <c r="W191" i="1"/>
  <c r="V192" i="1"/>
  <c r="W192" i="1"/>
  <c r="V193" i="1"/>
  <c r="W193" i="1" s="1"/>
  <c r="V194" i="1"/>
  <c r="W194" i="1" s="1"/>
  <c r="V195" i="1"/>
  <c r="W195" i="1"/>
  <c r="V196" i="1"/>
  <c r="W196" i="1"/>
  <c r="V197" i="1"/>
  <c r="W197" i="1" s="1"/>
  <c r="V198" i="1"/>
  <c r="W198" i="1" s="1"/>
  <c r="V199" i="1"/>
  <c r="W199" i="1"/>
  <c r="V200" i="1"/>
  <c r="W200" i="1"/>
  <c r="V201" i="1"/>
  <c r="W201" i="1" s="1"/>
  <c r="V202" i="1"/>
  <c r="W202" i="1" s="1"/>
  <c r="V203" i="1"/>
  <c r="W203" i="1"/>
  <c r="V204" i="1"/>
  <c r="W204" i="1"/>
  <c r="V205" i="1"/>
  <c r="W205" i="1" s="1"/>
  <c r="V206" i="1"/>
  <c r="W206" i="1" s="1"/>
  <c r="V207" i="1"/>
  <c r="W207" i="1"/>
  <c r="V208" i="1"/>
  <c r="W208" i="1"/>
  <c r="V209" i="1"/>
  <c r="W209" i="1" s="1"/>
  <c r="V210" i="1"/>
  <c r="W210" i="1" s="1"/>
  <c r="V211" i="1"/>
  <c r="W211" i="1"/>
  <c r="V212" i="1"/>
  <c r="W212" i="1"/>
  <c r="V213" i="1"/>
  <c r="W213" i="1" s="1"/>
  <c r="V214" i="1"/>
  <c r="W214" i="1" s="1"/>
  <c r="V215" i="1"/>
  <c r="W215" i="1"/>
  <c r="V216" i="1"/>
  <c r="W216" i="1"/>
  <c r="V217" i="1"/>
  <c r="W217" i="1" s="1"/>
  <c r="V218" i="1"/>
  <c r="W218" i="1" s="1"/>
  <c r="V219" i="1"/>
  <c r="W219" i="1"/>
  <c r="V220" i="1"/>
  <c r="W220" i="1"/>
  <c r="P25" i="1"/>
  <c r="Q25" i="1" s="1"/>
  <c r="P26" i="1"/>
  <c r="Q26" i="1" s="1"/>
  <c r="P27" i="1"/>
  <c r="Q27" i="1"/>
  <c r="P28" i="1"/>
  <c r="Q28" i="1" s="1"/>
  <c r="P29" i="1"/>
  <c r="Q29" i="1" s="1"/>
  <c r="P30" i="1"/>
  <c r="Q30" i="1" s="1"/>
  <c r="P31" i="1"/>
  <c r="Q31" i="1"/>
  <c r="P32" i="1"/>
  <c r="Q32" i="1" s="1"/>
  <c r="P33" i="1"/>
  <c r="Q33" i="1" s="1"/>
  <c r="P34" i="1"/>
  <c r="Q34" i="1" s="1"/>
  <c r="P35" i="1"/>
  <c r="Q35" i="1"/>
  <c r="P36" i="1"/>
  <c r="Q36" i="1" s="1"/>
  <c r="P37" i="1"/>
  <c r="Q37" i="1" s="1"/>
  <c r="P38" i="1"/>
  <c r="Q38" i="1" s="1"/>
  <c r="P39" i="1"/>
  <c r="Q39" i="1"/>
  <c r="P40" i="1"/>
  <c r="Q40" i="1" s="1"/>
  <c r="P41" i="1"/>
  <c r="Q41" i="1" s="1"/>
  <c r="P42" i="1"/>
  <c r="Q42" i="1" s="1"/>
  <c r="P43" i="1"/>
  <c r="Q43" i="1"/>
  <c r="P44" i="1"/>
  <c r="Q44" i="1" s="1"/>
  <c r="P45" i="1"/>
  <c r="Q45" i="1" s="1"/>
  <c r="P46" i="1"/>
  <c r="Q46" i="1" s="1"/>
  <c r="P47" i="1"/>
  <c r="Q47" i="1"/>
  <c r="P48" i="1"/>
  <c r="Q48" i="1" s="1"/>
  <c r="P49" i="1"/>
  <c r="Q49" i="1" s="1"/>
  <c r="P50" i="1"/>
  <c r="Q50" i="1" s="1"/>
  <c r="P51" i="1"/>
  <c r="Q51" i="1"/>
  <c r="P52" i="1"/>
  <c r="Q52" i="1" s="1"/>
  <c r="P53" i="1"/>
  <c r="Q53" i="1" s="1"/>
  <c r="P54" i="1"/>
  <c r="Q54" i="1" s="1"/>
  <c r="P55" i="1"/>
  <c r="Q55" i="1"/>
  <c r="P56" i="1"/>
  <c r="Q56" i="1" s="1"/>
  <c r="P57" i="1"/>
  <c r="Q57" i="1" s="1"/>
  <c r="P58" i="1"/>
  <c r="Q58" i="1" s="1"/>
  <c r="P59" i="1"/>
  <c r="Q59" i="1"/>
  <c r="P60" i="1"/>
  <c r="Q60" i="1" s="1"/>
  <c r="P61" i="1"/>
  <c r="Q61" i="1" s="1"/>
  <c r="P62" i="1"/>
  <c r="Q62" i="1" s="1"/>
  <c r="P63" i="1"/>
  <c r="Q63" i="1"/>
  <c r="P64" i="1"/>
  <c r="Q64" i="1" s="1"/>
  <c r="P65" i="1"/>
  <c r="Q65" i="1" s="1"/>
  <c r="P66" i="1"/>
  <c r="Q66" i="1" s="1"/>
  <c r="P67" i="1"/>
  <c r="Q67" i="1"/>
  <c r="P68" i="1"/>
  <c r="Q68" i="1" s="1"/>
  <c r="P69" i="1"/>
  <c r="Q69" i="1" s="1"/>
  <c r="P70" i="1"/>
  <c r="Q70" i="1" s="1"/>
  <c r="P71" i="1"/>
  <c r="Q71" i="1"/>
  <c r="P72" i="1"/>
  <c r="Q72" i="1" s="1"/>
  <c r="P73" i="1"/>
  <c r="Q73" i="1" s="1"/>
  <c r="P74" i="1"/>
  <c r="Q74" i="1" s="1"/>
  <c r="P75" i="1"/>
  <c r="Q75" i="1"/>
  <c r="P76" i="1"/>
  <c r="Q76" i="1" s="1"/>
  <c r="P77" i="1"/>
  <c r="Q77" i="1" s="1"/>
  <c r="P78" i="1"/>
  <c r="Q78" i="1" s="1"/>
  <c r="P79" i="1"/>
  <c r="Q79" i="1"/>
  <c r="P80" i="1"/>
  <c r="Q80" i="1" s="1"/>
  <c r="P81" i="1"/>
  <c r="Q81" i="1" s="1"/>
  <c r="P82" i="1"/>
  <c r="Q82" i="1" s="1"/>
  <c r="P83" i="1"/>
  <c r="Q83" i="1"/>
  <c r="P84" i="1"/>
  <c r="Q84" i="1" s="1"/>
  <c r="P85" i="1"/>
  <c r="Q85" i="1" s="1"/>
  <c r="P86" i="1"/>
  <c r="Q86" i="1" s="1"/>
  <c r="P87" i="1"/>
  <c r="Q87" i="1"/>
  <c r="P88" i="1"/>
  <c r="Q88" i="1" s="1"/>
  <c r="P89" i="1"/>
  <c r="Q89" i="1" s="1"/>
  <c r="P90" i="1"/>
  <c r="Q90" i="1" s="1"/>
  <c r="P91" i="1"/>
  <c r="Q91" i="1"/>
  <c r="P92" i="1"/>
  <c r="Q92" i="1" s="1"/>
  <c r="P93" i="1"/>
  <c r="Q93" i="1" s="1"/>
  <c r="P94" i="1"/>
  <c r="Q94" i="1" s="1"/>
  <c r="P95" i="1"/>
  <c r="Q95" i="1"/>
  <c r="P96" i="1"/>
  <c r="Q96" i="1" s="1"/>
  <c r="P97" i="1"/>
  <c r="Q97" i="1" s="1"/>
  <c r="P98" i="1"/>
  <c r="Q98" i="1" s="1"/>
  <c r="P99" i="1"/>
  <c r="Q99" i="1"/>
  <c r="P100" i="1"/>
  <c r="Q100" i="1" s="1"/>
  <c r="P101" i="1"/>
  <c r="Q101" i="1" s="1"/>
  <c r="P102" i="1"/>
  <c r="Q102" i="1" s="1"/>
  <c r="P103" i="1"/>
  <c r="Q103" i="1"/>
  <c r="P104" i="1"/>
  <c r="Q104" i="1" s="1"/>
  <c r="P105" i="1"/>
  <c r="Q105" i="1" s="1"/>
  <c r="P106" i="1"/>
  <c r="Q106" i="1" s="1"/>
  <c r="P107" i="1"/>
  <c r="Q107" i="1"/>
  <c r="P108" i="1"/>
  <c r="Q108" i="1" s="1"/>
  <c r="P109" i="1"/>
  <c r="Q109" i="1" s="1"/>
  <c r="P110" i="1"/>
  <c r="Q110" i="1" s="1"/>
  <c r="P111" i="1"/>
  <c r="Q111" i="1"/>
  <c r="P112" i="1"/>
  <c r="Q112" i="1" s="1"/>
  <c r="P113" i="1"/>
  <c r="Q113" i="1" s="1"/>
  <c r="P114" i="1"/>
  <c r="Q114" i="1" s="1"/>
  <c r="P115" i="1"/>
  <c r="Q115" i="1"/>
  <c r="P116" i="1"/>
  <c r="Q116" i="1" s="1"/>
  <c r="P117" i="1"/>
  <c r="Q117" i="1" s="1"/>
  <c r="P118" i="1"/>
  <c r="Q118" i="1" s="1"/>
  <c r="P119" i="1"/>
  <c r="Q119" i="1"/>
  <c r="P120" i="1"/>
  <c r="Q120" i="1" s="1"/>
  <c r="P121" i="1"/>
  <c r="Q121" i="1" s="1"/>
  <c r="P122" i="1"/>
  <c r="Q122" i="1" s="1"/>
  <c r="P123" i="1"/>
  <c r="Q123" i="1"/>
  <c r="P124" i="1"/>
  <c r="Q124" i="1" s="1"/>
  <c r="P125" i="1"/>
  <c r="Q125" i="1" s="1"/>
  <c r="P126" i="1"/>
  <c r="Q126" i="1" s="1"/>
  <c r="P127" i="1"/>
  <c r="Q127" i="1"/>
  <c r="P128" i="1"/>
  <c r="Q128" i="1" s="1"/>
  <c r="P129" i="1"/>
  <c r="Q129" i="1" s="1"/>
  <c r="P130" i="1"/>
  <c r="Q130" i="1" s="1"/>
  <c r="P131" i="1"/>
  <c r="Q131" i="1"/>
  <c r="P132" i="1"/>
  <c r="Q132" i="1" s="1"/>
  <c r="P133" i="1"/>
  <c r="Q133" i="1" s="1"/>
  <c r="P134" i="1"/>
  <c r="Q134" i="1" s="1"/>
  <c r="P135" i="1"/>
  <c r="Q135" i="1"/>
  <c r="P136" i="1"/>
  <c r="Q136" i="1" s="1"/>
  <c r="P137" i="1"/>
  <c r="Q137" i="1" s="1"/>
  <c r="P138" i="1"/>
  <c r="Q138" i="1" s="1"/>
  <c r="P139" i="1"/>
  <c r="Q139" i="1"/>
  <c r="P140" i="1"/>
  <c r="Q140" i="1" s="1"/>
  <c r="P141" i="1"/>
  <c r="Q141" i="1" s="1"/>
  <c r="P142" i="1"/>
  <c r="Q142" i="1" s="1"/>
  <c r="P143" i="1"/>
  <c r="Q143" i="1"/>
  <c r="P144" i="1"/>
  <c r="Q144" i="1" s="1"/>
  <c r="P145" i="1"/>
  <c r="Q145" i="1" s="1"/>
  <c r="P146" i="1"/>
  <c r="Q146" i="1" s="1"/>
  <c r="P147" i="1"/>
  <c r="Q147" i="1"/>
  <c r="P148" i="1"/>
  <c r="Q148" i="1" s="1"/>
  <c r="P149" i="1"/>
  <c r="Q149" i="1" s="1"/>
  <c r="P150" i="1"/>
  <c r="Q150" i="1" s="1"/>
  <c r="P151" i="1"/>
  <c r="Q151" i="1"/>
  <c r="P152" i="1"/>
  <c r="Q152" i="1" s="1"/>
  <c r="P153" i="1"/>
  <c r="Q153" i="1" s="1"/>
  <c r="P154" i="1"/>
  <c r="Q154" i="1" s="1"/>
  <c r="P155" i="1"/>
  <c r="Q155" i="1"/>
  <c r="P156" i="1"/>
  <c r="Q156" i="1" s="1"/>
  <c r="P157" i="1"/>
  <c r="Q157" i="1" s="1"/>
  <c r="P158" i="1"/>
  <c r="Q158" i="1" s="1"/>
  <c r="P159" i="1"/>
  <c r="Q159" i="1"/>
  <c r="P160" i="1"/>
  <c r="Q160" i="1" s="1"/>
  <c r="P161" i="1"/>
  <c r="Q161" i="1" s="1"/>
  <c r="P162" i="1"/>
  <c r="Q162" i="1" s="1"/>
  <c r="P163" i="1"/>
  <c r="Q163" i="1"/>
  <c r="P164" i="1"/>
  <c r="Q164" i="1" s="1"/>
  <c r="P165" i="1"/>
  <c r="Q165" i="1" s="1"/>
  <c r="P166" i="1"/>
  <c r="Q166" i="1" s="1"/>
  <c r="P167" i="1"/>
  <c r="Q167" i="1"/>
  <c r="P168" i="1"/>
  <c r="Q168" i="1"/>
  <c r="P169" i="1"/>
  <c r="Q169" i="1" s="1"/>
  <c r="P170" i="1"/>
  <c r="Q170" i="1" s="1"/>
  <c r="P171" i="1"/>
  <c r="Q171" i="1"/>
  <c r="P172" i="1"/>
  <c r="Q172" i="1"/>
  <c r="P173" i="1"/>
  <c r="Q173" i="1" s="1"/>
  <c r="P174" i="1"/>
  <c r="Q174" i="1" s="1"/>
  <c r="P175" i="1"/>
  <c r="Q175" i="1"/>
  <c r="P176" i="1"/>
  <c r="Q176" i="1"/>
  <c r="P177" i="1"/>
  <c r="Q177" i="1" s="1"/>
  <c r="P178" i="1"/>
  <c r="Q178" i="1" s="1"/>
  <c r="P179" i="1"/>
  <c r="Q179" i="1"/>
  <c r="P180" i="1"/>
  <c r="Q180" i="1"/>
  <c r="P181" i="1"/>
  <c r="Q181" i="1" s="1"/>
  <c r="P182" i="1"/>
  <c r="Q182" i="1" s="1"/>
  <c r="P183" i="1"/>
  <c r="Q183" i="1"/>
  <c r="P184" i="1"/>
  <c r="Q184" i="1"/>
  <c r="P185" i="1"/>
  <c r="Q185" i="1" s="1"/>
  <c r="P186" i="1"/>
  <c r="Q186" i="1" s="1"/>
  <c r="P187" i="1"/>
  <c r="Q187" i="1"/>
  <c r="P188" i="1"/>
  <c r="Q188" i="1"/>
  <c r="P189" i="1"/>
  <c r="Q189" i="1" s="1"/>
  <c r="P190" i="1"/>
  <c r="Q190" i="1" s="1"/>
  <c r="P191" i="1"/>
  <c r="Q191" i="1"/>
  <c r="P192" i="1"/>
  <c r="Q192" i="1"/>
  <c r="P193" i="1"/>
  <c r="Q193" i="1" s="1"/>
  <c r="P194" i="1"/>
  <c r="Q194" i="1" s="1"/>
  <c r="P195" i="1"/>
  <c r="Q195" i="1"/>
  <c r="P196" i="1"/>
  <c r="Q196" i="1"/>
  <c r="P197" i="1"/>
  <c r="Q197" i="1" s="1"/>
  <c r="P198" i="1"/>
  <c r="Q198" i="1" s="1"/>
  <c r="P199" i="1"/>
  <c r="Q199" i="1"/>
  <c r="P200" i="1"/>
  <c r="Q200" i="1"/>
  <c r="P201" i="1"/>
  <c r="Q201" i="1" s="1"/>
  <c r="P202" i="1"/>
  <c r="Q202" i="1" s="1"/>
  <c r="P203" i="1"/>
  <c r="Q203" i="1"/>
  <c r="P204" i="1"/>
  <c r="Q204" i="1"/>
  <c r="P205" i="1"/>
  <c r="Q205" i="1" s="1"/>
  <c r="P206" i="1"/>
  <c r="Q206" i="1" s="1"/>
  <c r="P207" i="1"/>
  <c r="Q207" i="1"/>
  <c r="P208" i="1"/>
  <c r="Q208" i="1"/>
  <c r="P209" i="1"/>
  <c r="Q209" i="1" s="1"/>
  <c r="P210" i="1"/>
  <c r="Q210" i="1" s="1"/>
  <c r="P211" i="1"/>
  <c r="Q211" i="1"/>
  <c r="P212" i="1"/>
  <c r="Q212" i="1"/>
  <c r="P213" i="1"/>
  <c r="Q213" i="1" s="1"/>
  <c r="P214" i="1"/>
  <c r="Q214" i="1" s="1"/>
  <c r="P215" i="1"/>
  <c r="Q215" i="1"/>
  <c r="P216" i="1"/>
  <c r="Q216" i="1"/>
  <c r="P217" i="1"/>
  <c r="Q217" i="1" s="1"/>
  <c r="P218" i="1"/>
  <c r="Q218" i="1" s="1"/>
  <c r="P219" i="1"/>
  <c r="Q219" i="1"/>
  <c r="P220" i="1"/>
  <c r="Q220" i="1"/>
  <c r="AT24" i="1"/>
  <c r="AU24" i="1" s="1"/>
  <c r="AN24" i="1"/>
  <c r="AO24" i="1" s="1"/>
  <c r="AH24" i="1"/>
  <c r="AI24" i="1" s="1"/>
  <c r="AB24" i="1"/>
  <c r="AC24" i="1" s="1"/>
  <c r="V24" i="1"/>
  <c r="W24" i="1" s="1"/>
  <c r="AT22" i="1"/>
  <c r="AN22" i="1"/>
  <c r="AH22" i="1"/>
  <c r="AB22" i="1"/>
  <c r="V22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P24" i="1"/>
  <c r="Q24" i="1" s="1"/>
  <c r="P22" i="1"/>
  <c r="K24" i="1"/>
  <c r="J22" i="1"/>
  <c r="I22" i="1"/>
  <c r="K4" i="3"/>
  <c r="M4" i="3"/>
  <c r="N4" i="3" s="1"/>
  <c r="O4" i="3" s="1"/>
  <c r="P4" i="3" s="1"/>
  <c r="N28" i="4" l="1"/>
  <c r="O28" i="4" s="1"/>
  <c r="O23" i="4"/>
  <c r="P23" i="4" s="1"/>
  <c r="M17" i="4" l="1"/>
  <c r="Q17" i="4" s="1"/>
  <c r="R17" i="4" s="1"/>
  <c r="M11" i="4"/>
  <c r="Q11" i="4" s="1"/>
  <c r="R11" i="4" s="1"/>
  <c r="P5" i="4"/>
  <c r="Q5" i="4" s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4" i="1"/>
  <c r="AV29" i="1"/>
  <c r="AV30" i="1"/>
  <c r="AV31" i="1"/>
  <c r="AV32" i="1"/>
  <c r="AV38" i="1"/>
  <c r="AV39" i="1"/>
  <c r="AV40" i="1"/>
  <c r="AV46" i="1"/>
  <c r="AV47" i="1"/>
  <c r="AV48" i="1"/>
  <c r="AV53" i="1"/>
  <c r="AV54" i="1"/>
  <c r="AV55" i="1"/>
  <c r="AV56" i="1"/>
  <c r="AV62" i="1"/>
  <c r="AV63" i="1"/>
  <c r="AV64" i="1"/>
  <c r="AV69" i="1"/>
  <c r="AV70" i="1"/>
  <c r="AV71" i="1"/>
  <c r="AV72" i="1"/>
  <c r="AV78" i="1"/>
  <c r="AV79" i="1"/>
  <c r="AV80" i="1"/>
  <c r="AV85" i="1"/>
  <c r="AV86" i="1"/>
  <c r="AV87" i="1"/>
  <c r="AV88" i="1"/>
  <c r="AV93" i="1"/>
  <c r="AV94" i="1"/>
  <c r="AV95" i="1"/>
  <c r="AV96" i="1"/>
  <c r="AV102" i="1"/>
  <c r="AV103" i="1"/>
  <c r="AV104" i="1"/>
  <c r="AV109" i="1"/>
  <c r="AV110" i="1"/>
  <c r="AV111" i="1"/>
  <c r="AV112" i="1"/>
  <c r="AV118" i="1"/>
  <c r="AV119" i="1"/>
  <c r="AV120" i="1"/>
  <c r="AV125" i="1"/>
  <c r="AV126" i="1"/>
  <c r="AV127" i="1"/>
  <c r="AV128" i="1"/>
  <c r="AV133" i="1"/>
  <c r="AV134" i="1"/>
  <c r="AV135" i="1"/>
  <c r="AV136" i="1"/>
  <c r="AV142" i="1"/>
  <c r="AV143" i="1"/>
  <c r="AV144" i="1"/>
  <c r="AV150" i="1"/>
  <c r="AV151" i="1"/>
  <c r="AV152" i="1"/>
  <c r="AV158" i="1"/>
  <c r="AV159" i="1"/>
  <c r="AV160" i="1"/>
  <c r="AV166" i="1"/>
  <c r="AV167" i="1"/>
  <c r="AV168" i="1"/>
  <c r="AV173" i="1"/>
  <c r="AV174" i="1"/>
  <c r="AV175" i="1"/>
  <c r="AV176" i="1"/>
  <c r="AV182" i="1"/>
  <c r="AV183" i="1"/>
  <c r="AV184" i="1"/>
  <c r="AV190" i="1"/>
  <c r="AV191" i="1"/>
  <c r="AV192" i="1"/>
  <c r="AV197" i="1"/>
  <c r="AV198" i="1"/>
  <c r="AV199" i="1"/>
  <c r="AV200" i="1"/>
  <c r="AV206" i="1"/>
  <c r="AV207" i="1"/>
  <c r="AV208" i="1"/>
  <c r="AV213" i="1"/>
  <c r="AV214" i="1"/>
  <c r="AV215" i="1"/>
  <c r="AV216" i="1"/>
  <c r="AP25" i="1"/>
  <c r="AP26" i="1"/>
  <c r="AP27" i="1"/>
  <c r="AP32" i="1"/>
  <c r="AP33" i="1"/>
  <c r="AP34" i="1"/>
  <c r="AP35" i="1"/>
  <c r="AP41" i="1"/>
  <c r="AP42" i="1"/>
  <c r="AP43" i="1"/>
  <c r="AP48" i="1"/>
  <c r="AP49" i="1"/>
  <c r="AP50" i="1"/>
  <c r="AP51" i="1"/>
  <c r="AP57" i="1"/>
  <c r="AP58" i="1"/>
  <c r="AP59" i="1"/>
  <c r="AP64" i="1"/>
  <c r="AP65" i="1"/>
  <c r="AP66" i="1"/>
  <c r="AP67" i="1"/>
  <c r="AP73" i="1"/>
  <c r="AP74" i="1"/>
  <c r="AP75" i="1"/>
  <c r="AP80" i="1"/>
  <c r="AP81" i="1"/>
  <c r="AP82" i="1"/>
  <c r="AP83" i="1"/>
  <c r="AP89" i="1"/>
  <c r="AP90" i="1"/>
  <c r="AP91" i="1"/>
  <c r="AP96" i="1"/>
  <c r="AP97" i="1"/>
  <c r="AP98" i="1"/>
  <c r="AP99" i="1"/>
  <c r="AP104" i="1"/>
  <c r="AP105" i="1"/>
  <c r="AP106" i="1"/>
  <c r="AP107" i="1"/>
  <c r="AP113" i="1"/>
  <c r="AP114" i="1"/>
  <c r="AP115" i="1"/>
  <c r="AP121" i="1"/>
  <c r="AP122" i="1"/>
  <c r="AP123" i="1"/>
  <c r="AP129" i="1"/>
  <c r="AP130" i="1"/>
  <c r="AP131" i="1"/>
  <c r="AP136" i="1"/>
  <c r="AP137" i="1"/>
  <c r="AP138" i="1"/>
  <c r="AP139" i="1"/>
  <c r="AP144" i="1"/>
  <c r="AP145" i="1"/>
  <c r="AP146" i="1"/>
  <c r="AP147" i="1"/>
  <c r="AP152" i="1"/>
  <c r="AP153" i="1"/>
  <c r="AP154" i="1"/>
  <c r="AP155" i="1"/>
  <c r="AP160" i="1"/>
  <c r="AP161" i="1"/>
  <c r="AP162" i="1"/>
  <c r="AP163" i="1"/>
  <c r="AP168" i="1"/>
  <c r="AP169" i="1"/>
  <c r="AP170" i="1"/>
  <c r="AP171" i="1"/>
  <c r="AP176" i="1"/>
  <c r="AP177" i="1"/>
  <c r="AP178" i="1"/>
  <c r="AP179" i="1"/>
  <c r="AP184" i="1"/>
  <c r="AP185" i="1"/>
  <c r="AP186" i="1"/>
  <c r="AP187" i="1"/>
  <c r="AP192" i="1"/>
  <c r="AP193" i="1"/>
  <c r="AP194" i="1"/>
  <c r="AP195" i="1"/>
  <c r="AP200" i="1"/>
  <c r="AP201" i="1"/>
  <c r="AP202" i="1"/>
  <c r="AP203" i="1"/>
  <c r="AP208" i="1"/>
  <c r="AP209" i="1"/>
  <c r="AP210" i="1"/>
  <c r="AP211" i="1"/>
  <c r="AP217" i="1"/>
  <c r="AP218" i="1"/>
  <c r="AP219" i="1"/>
  <c r="AJ27" i="1"/>
  <c r="AJ28" i="1"/>
  <c r="AJ29" i="1"/>
  <c r="AJ30" i="1"/>
  <c r="AJ36" i="1"/>
  <c r="AJ37" i="1"/>
  <c r="AJ38" i="1"/>
  <c r="AJ43" i="1"/>
  <c r="AJ44" i="1"/>
  <c r="AJ45" i="1"/>
  <c r="AJ46" i="1"/>
  <c r="AJ52" i="1"/>
  <c r="AJ53" i="1"/>
  <c r="AJ54" i="1"/>
  <c r="AJ59" i="1"/>
  <c r="AJ60" i="1"/>
  <c r="AJ61" i="1"/>
  <c r="AJ62" i="1"/>
  <c r="AJ67" i="1"/>
  <c r="AJ68" i="1"/>
  <c r="AJ69" i="1"/>
  <c r="AJ70" i="1"/>
  <c r="AJ75" i="1"/>
  <c r="AJ76" i="1"/>
  <c r="AJ77" i="1"/>
  <c r="AJ78" i="1"/>
  <c r="AJ83" i="1"/>
  <c r="AJ84" i="1"/>
  <c r="AJ85" i="1"/>
  <c r="AJ86" i="1"/>
  <c r="AJ91" i="1"/>
  <c r="AJ92" i="1"/>
  <c r="AJ93" i="1"/>
  <c r="AJ94" i="1"/>
  <c r="AJ100" i="1"/>
  <c r="AJ101" i="1"/>
  <c r="AJ102" i="1"/>
  <c r="AJ107" i="1"/>
  <c r="AJ108" i="1"/>
  <c r="AJ109" i="1"/>
  <c r="AJ110" i="1"/>
  <c r="AJ116" i="1"/>
  <c r="AJ117" i="1"/>
  <c r="AJ118" i="1"/>
  <c r="AJ123" i="1"/>
  <c r="AJ124" i="1"/>
  <c r="AJ125" i="1"/>
  <c r="AJ126" i="1"/>
  <c r="AJ131" i="1"/>
  <c r="AJ132" i="1"/>
  <c r="AJ133" i="1"/>
  <c r="AJ134" i="1"/>
  <c r="AJ140" i="1"/>
  <c r="AJ141" i="1"/>
  <c r="AJ142" i="1"/>
  <c r="AJ148" i="1"/>
  <c r="AJ149" i="1"/>
  <c r="AJ150" i="1"/>
  <c r="AJ156" i="1"/>
  <c r="AJ157" i="1"/>
  <c r="AJ158" i="1"/>
  <c r="AJ164" i="1"/>
  <c r="AJ165" i="1"/>
  <c r="AJ166" i="1"/>
  <c r="AJ172" i="1"/>
  <c r="AJ173" i="1"/>
  <c r="AJ174" i="1"/>
  <c r="AJ179" i="1"/>
  <c r="AJ180" i="1"/>
  <c r="AJ181" i="1"/>
  <c r="AJ182" i="1"/>
  <c r="AJ187" i="1"/>
  <c r="AJ188" i="1"/>
  <c r="AJ189" i="1"/>
  <c r="AJ190" i="1"/>
  <c r="AJ196" i="1"/>
  <c r="AJ197" i="1"/>
  <c r="AJ198" i="1"/>
  <c r="AJ203" i="1"/>
  <c r="AJ204" i="1"/>
  <c r="AJ205" i="1"/>
  <c r="AJ206" i="1"/>
  <c r="AJ212" i="1"/>
  <c r="AJ213" i="1"/>
  <c r="AJ214" i="1"/>
  <c r="AJ219" i="1"/>
  <c r="AJ220" i="1"/>
  <c r="AJ24" i="1"/>
  <c r="AD25" i="1"/>
  <c r="AD30" i="1"/>
  <c r="AD31" i="1"/>
  <c r="AD32" i="1"/>
  <c r="AD33" i="1"/>
  <c r="AD39" i="1"/>
  <c r="AD40" i="1"/>
  <c r="AD41" i="1"/>
  <c r="AD46" i="1"/>
  <c r="AD47" i="1"/>
  <c r="AD48" i="1"/>
  <c r="AD49" i="1"/>
  <c r="AD55" i="1"/>
  <c r="AD56" i="1"/>
  <c r="AD57" i="1"/>
  <c r="AD63" i="1"/>
  <c r="AD64" i="1"/>
  <c r="AD65" i="1"/>
  <c r="AD71" i="1"/>
  <c r="AD72" i="1"/>
  <c r="AD73" i="1"/>
  <c r="AD78" i="1"/>
  <c r="AD79" i="1"/>
  <c r="AD80" i="1"/>
  <c r="AD81" i="1"/>
  <c r="AD87" i="1"/>
  <c r="AD88" i="1"/>
  <c r="AD89" i="1"/>
  <c r="AD94" i="1"/>
  <c r="AD95" i="1"/>
  <c r="AD96" i="1"/>
  <c r="AD97" i="1"/>
  <c r="AD102" i="1"/>
  <c r="AD103" i="1"/>
  <c r="AD104" i="1"/>
  <c r="AD105" i="1"/>
  <c r="AD111" i="1"/>
  <c r="AD112" i="1"/>
  <c r="AD113" i="1"/>
  <c r="AD118" i="1"/>
  <c r="AD119" i="1"/>
  <c r="AD120" i="1"/>
  <c r="AD121" i="1"/>
  <c r="AD127" i="1"/>
  <c r="AD128" i="1"/>
  <c r="AD129" i="1"/>
  <c r="AD134" i="1"/>
  <c r="AD135" i="1"/>
  <c r="AD136" i="1"/>
  <c r="AD137" i="1"/>
  <c r="AD143" i="1"/>
  <c r="AD144" i="1"/>
  <c r="AD145" i="1"/>
  <c r="AD150" i="1"/>
  <c r="AD151" i="1"/>
  <c r="AD152" i="1"/>
  <c r="AD153" i="1"/>
  <c r="AD158" i="1"/>
  <c r="AD159" i="1"/>
  <c r="AD160" i="1"/>
  <c r="AD161" i="1"/>
  <c r="AD167" i="1"/>
  <c r="AD168" i="1"/>
  <c r="AD169" i="1"/>
  <c r="AD174" i="1"/>
  <c r="AD175" i="1"/>
  <c r="AD176" i="1"/>
  <c r="AD177" i="1"/>
  <c r="AD183" i="1"/>
  <c r="AD184" i="1"/>
  <c r="AD185" i="1"/>
  <c r="AD190" i="1"/>
  <c r="AD191" i="1"/>
  <c r="AD192" i="1"/>
  <c r="AD193" i="1"/>
  <c r="AD198" i="1"/>
  <c r="AD199" i="1"/>
  <c r="AD200" i="1"/>
  <c r="AD201" i="1"/>
  <c r="AD206" i="1"/>
  <c r="AD207" i="1"/>
  <c r="AD208" i="1"/>
  <c r="AD209" i="1"/>
  <c r="AD215" i="1"/>
  <c r="AD216" i="1"/>
  <c r="AD217" i="1"/>
  <c r="X25" i="1"/>
  <c r="X26" i="1"/>
  <c r="X27" i="1"/>
  <c r="X28" i="1"/>
  <c r="X34" i="1"/>
  <c r="X35" i="1"/>
  <c r="X36" i="1"/>
  <c r="X42" i="1"/>
  <c r="X43" i="1"/>
  <c r="X44" i="1"/>
  <c r="X49" i="1"/>
  <c r="X50" i="1"/>
  <c r="X51" i="1"/>
  <c r="X52" i="1"/>
  <c r="X58" i="1"/>
  <c r="X59" i="1"/>
  <c r="X60" i="1"/>
  <c r="X65" i="1"/>
  <c r="X66" i="1"/>
  <c r="X67" i="1"/>
  <c r="X68" i="1"/>
  <c r="X74" i="1"/>
  <c r="X75" i="1"/>
  <c r="X76" i="1"/>
  <c r="X81" i="1"/>
  <c r="X82" i="1"/>
  <c r="X83" i="1"/>
  <c r="X84" i="1"/>
  <c r="X90" i="1"/>
  <c r="X91" i="1"/>
  <c r="X92" i="1"/>
  <c r="X97" i="1"/>
  <c r="X98" i="1"/>
  <c r="X99" i="1"/>
  <c r="X100" i="1"/>
  <c r="X105" i="1"/>
  <c r="X106" i="1"/>
  <c r="X107" i="1"/>
  <c r="X108" i="1"/>
  <c r="X113" i="1"/>
  <c r="X114" i="1"/>
  <c r="X115" i="1"/>
  <c r="X116" i="1"/>
  <c r="X121" i="1"/>
  <c r="X122" i="1"/>
  <c r="X123" i="1"/>
  <c r="X124" i="1"/>
  <c r="X130" i="1"/>
  <c r="X131" i="1"/>
  <c r="X132" i="1"/>
  <c r="X137" i="1"/>
  <c r="X138" i="1"/>
  <c r="X139" i="1"/>
  <c r="X140" i="1"/>
  <c r="X145" i="1"/>
  <c r="X146" i="1"/>
  <c r="X147" i="1"/>
  <c r="X148" i="1"/>
  <c r="X154" i="1"/>
  <c r="X155" i="1"/>
  <c r="X156" i="1"/>
  <c r="X161" i="1"/>
  <c r="X162" i="1"/>
  <c r="X163" i="1"/>
  <c r="X164" i="1"/>
  <c r="X169" i="1"/>
  <c r="X170" i="1"/>
  <c r="X171" i="1"/>
  <c r="X172" i="1"/>
  <c r="X177" i="1"/>
  <c r="X178" i="1"/>
  <c r="X179" i="1"/>
  <c r="X180" i="1"/>
  <c r="X186" i="1"/>
  <c r="X187" i="1"/>
  <c r="X188" i="1"/>
  <c r="X193" i="1"/>
  <c r="X194" i="1"/>
  <c r="X195" i="1"/>
  <c r="X196" i="1"/>
  <c r="X202" i="1"/>
  <c r="X203" i="1"/>
  <c r="X204" i="1"/>
  <c r="X209" i="1"/>
  <c r="X210" i="1"/>
  <c r="X211" i="1"/>
  <c r="X212" i="1"/>
  <c r="X217" i="1"/>
  <c r="X218" i="1"/>
  <c r="X219" i="1"/>
  <c r="X220" i="1"/>
  <c r="R28" i="1"/>
  <c r="R29" i="1"/>
  <c r="R30" i="1"/>
  <c r="R35" i="1"/>
  <c r="R36" i="1"/>
  <c r="R37" i="1"/>
  <c r="R38" i="1"/>
  <c r="R43" i="1"/>
  <c r="R44" i="1"/>
  <c r="R45" i="1"/>
  <c r="R46" i="1"/>
  <c r="R52" i="1"/>
  <c r="R53" i="1"/>
  <c r="R54" i="1"/>
  <c r="R59" i="1"/>
  <c r="R60" i="1"/>
  <c r="R61" i="1"/>
  <c r="R62" i="1"/>
  <c r="R67" i="1"/>
  <c r="R68" i="1"/>
  <c r="R69" i="1"/>
  <c r="R70" i="1"/>
  <c r="R75" i="1"/>
  <c r="R76" i="1"/>
  <c r="R77" i="1"/>
  <c r="R78" i="1"/>
  <c r="R83" i="1"/>
  <c r="R84" i="1"/>
  <c r="R85" i="1"/>
  <c r="R86" i="1"/>
  <c r="R92" i="1"/>
  <c r="R93" i="1"/>
  <c r="R94" i="1"/>
  <c r="R100" i="1"/>
  <c r="R101" i="1"/>
  <c r="R102" i="1"/>
  <c r="R107" i="1"/>
  <c r="R108" i="1"/>
  <c r="R109" i="1"/>
  <c r="R110" i="1"/>
  <c r="R115" i="1"/>
  <c r="R116" i="1"/>
  <c r="R117" i="1"/>
  <c r="R118" i="1"/>
  <c r="R123" i="1"/>
  <c r="R124" i="1"/>
  <c r="R125" i="1"/>
  <c r="R126" i="1"/>
  <c r="R132" i="1"/>
  <c r="R133" i="1"/>
  <c r="R134" i="1"/>
  <c r="R139" i="1"/>
  <c r="R140" i="1"/>
  <c r="R141" i="1"/>
  <c r="R142" i="1"/>
  <c r="R147" i="1"/>
  <c r="R148" i="1"/>
  <c r="R149" i="1"/>
  <c r="R150" i="1"/>
  <c r="R156" i="1"/>
  <c r="R157" i="1"/>
  <c r="R158" i="1"/>
  <c r="R163" i="1"/>
  <c r="R164" i="1"/>
  <c r="R165" i="1"/>
  <c r="R166" i="1"/>
  <c r="R172" i="1"/>
  <c r="R173" i="1"/>
  <c r="R174" i="1"/>
  <c r="R179" i="1"/>
  <c r="R180" i="1"/>
  <c r="R181" i="1"/>
  <c r="R182" i="1"/>
  <c r="R187" i="1"/>
  <c r="R188" i="1"/>
  <c r="R189" i="1"/>
  <c r="R190" i="1"/>
  <c r="R196" i="1"/>
  <c r="R197" i="1"/>
  <c r="R198" i="1"/>
  <c r="R203" i="1"/>
  <c r="R204" i="1"/>
  <c r="R205" i="1"/>
  <c r="R206" i="1"/>
  <c r="R212" i="1"/>
  <c r="R213" i="1"/>
  <c r="R214" i="1"/>
  <c r="R24" i="1"/>
  <c r="L26" i="1"/>
  <c r="L32" i="1"/>
  <c r="L33" i="1"/>
  <c r="L34" i="1"/>
  <c r="L40" i="1"/>
  <c r="L41" i="1"/>
  <c r="L42" i="1"/>
  <c r="L47" i="1"/>
  <c r="L48" i="1"/>
  <c r="L49" i="1"/>
  <c r="L50" i="1"/>
  <c r="L55" i="1"/>
  <c r="L56" i="1"/>
  <c r="L57" i="1"/>
  <c r="L58" i="1"/>
  <c r="L63" i="1"/>
  <c r="L64" i="1"/>
  <c r="L65" i="1"/>
  <c r="L66" i="1"/>
  <c r="L72" i="1"/>
  <c r="L73" i="1"/>
  <c r="L74" i="1"/>
  <c r="L79" i="1"/>
  <c r="L80" i="1"/>
  <c r="L81" i="1"/>
  <c r="L82" i="1"/>
  <c r="L87" i="1"/>
  <c r="L88" i="1"/>
  <c r="L89" i="1"/>
  <c r="L90" i="1"/>
  <c r="L95" i="1"/>
  <c r="L96" i="1"/>
  <c r="L97" i="1"/>
  <c r="L98" i="1"/>
  <c r="L104" i="1"/>
  <c r="L105" i="1"/>
  <c r="L106" i="1"/>
  <c r="L111" i="1"/>
  <c r="L112" i="1"/>
  <c r="L113" i="1"/>
  <c r="L114" i="1"/>
  <c r="L120" i="1"/>
  <c r="L121" i="1"/>
  <c r="L122" i="1"/>
  <c r="L127" i="1"/>
  <c r="L128" i="1"/>
  <c r="L129" i="1"/>
  <c r="L130" i="1"/>
  <c r="L135" i="1"/>
  <c r="L136" i="1"/>
  <c r="L137" i="1"/>
  <c r="L138" i="1"/>
  <c r="L144" i="1"/>
  <c r="L145" i="1"/>
  <c r="L146" i="1"/>
  <c r="L152" i="1"/>
  <c r="L153" i="1"/>
  <c r="L154" i="1"/>
  <c r="L159" i="1"/>
  <c r="L160" i="1"/>
  <c r="L161" i="1"/>
  <c r="L162" i="1"/>
  <c r="L167" i="1"/>
  <c r="L168" i="1"/>
  <c r="L169" i="1"/>
  <c r="L170" i="1"/>
  <c r="L176" i="1"/>
  <c r="L177" i="1"/>
  <c r="L178" i="1"/>
  <c r="L184" i="1"/>
  <c r="L185" i="1"/>
  <c r="L186" i="1"/>
  <c r="L191" i="1"/>
  <c r="L192" i="1"/>
  <c r="L193" i="1"/>
  <c r="L194" i="1"/>
  <c r="L200" i="1"/>
  <c r="L201" i="1"/>
  <c r="L202" i="1"/>
  <c r="L207" i="1"/>
  <c r="L208" i="1"/>
  <c r="L209" i="1"/>
  <c r="L210" i="1"/>
  <c r="L215" i="1"/>
  <c r="L216" i="1"/>
  <c r="L217" i="1"/>
  <c r="L218" i="1"/>
  <c r="D14" i="1"/>
  <c r="D13" i="1"/>
  <c r="D12" i="1"/>
  <c r="D11" i="1"/>
  <c r="D10" i="1"/>
  <c r="C14" i="1"/>
  <c r="C13" i="1"/>
  <c r="C12" i="1"/>
  <c r="C11" i="1"/>
  <c r="C10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4" i="1"/>
  <c r="R220" i="1"/>
  <c r="AP166" i="1"/>
  <c r="AD166" i="1"/>
  <c r="X166" i="1"/>
  <c r="AV165" i="1"/>
  <c r="AP165" i="1"/>
  <c r="AD165" i="1"/>
  <c r="X165" i="1"/>
  <c r="AV164" i="1"/>
  <c r="AP164" i="1"/>
  <c r="AD164" i="1"/>
  <c r="AV163" i="1"/>
  <c r="AJ163" i="1"/>
  <c r="AD163" i="1"/>
  <c r="AV162" i="1"/>
  <c r="AJ162" i="1"/>
  <c r="AD162" i="1"/>
  <c r="R162" i="1"/>
  <c r="AV161" i="1"/>
  <c r="AJ161" i="1"/>
  <c r="R161" i="1"/>
  <c r="AJ160" i="1"/>
  <c r="X160" i="1"/>
  <c r="R160" i="1"/>
  <c r="AP159" i="1"/>
  <c r="AJ159" i="1"/>
  <c r="X159" i="1"/>
  <c r="R159" i="1"/>
  <c r="AP158" i="1"/>
  <c r="X158" i="1"/>
  <c r="AV157" i="1"/>
  <c r="AP157" i="1"/>
  <c r="AD157" i="1"/>
  <c r="X157" i="1"/>
  <c r="AV156" i="1"/>
  <c r="AP156" i="1"/>
  <c r="AD156" i="1"/>
  <c r="AV155" i="1"/>
  <c r="AJ155" i="1"/>
  <c r="AD155" i="1"/>
  <c r="R155" i="1"/>
  <c r="AV154" i="1"/>
  <c r="AJ154" i="1"/>
  <c r="AD154" i="1"/>
  <c r="R154" i="1"/>
  <c r="AV153" i="1"/>
  <c r="AJ153" i="1"/>
  <c r="X153" i="1"/>
  <c r="R153" i="1"/>
  <c r="AJ152" i="1"/>
  <c r="X152" i="1"/>
  <c r="R152" i="1"/>
  <c r="AP151" i="1"/>
  <c r="AJ151" i="1"/>
  <c r="X151" i="1"/>
  <c r="R151" i="1"/>
  <c r="AP150" i="1"/>
  <c r="X150" i="1"/>
  <c r="AV149" i="1"/>
  <c r="AP149" i="1"/>
  <c r="AD149" i="1"/>
  <c r="X149" i="1"/>
  <c r="AV148" i="1"/>
  <c r="AP148" i="1"/>
  <c r="AD148" i="1"/>
  <c r="AV147" i="1"/>
  <c r="AJ147" i="1"/>
  <c r="AD147" i="1"/>
  <c r="AV146" i="1"/>
  <c r="AJ146" i="1"/>
  <c r="AD146" i="1"/>
  <c r="R146" i="1"/>
  <c r="AV145" i="1"/>
  <c r="AJ145" i="1"/>
  <c r="R145" i="1"/>
  <c r="AJ144" i="1"/>
  <c r="X144" i="1"/>
  <c r="R144" i="1"/>
  <c r="AP143" i="1"/>
  <c r="AJ143" i="1"/>
  <c r="X143" i="1"/>
  <c r="R143" i="1"/>
  <c r="AP142" i="1"/>
  <c r="AD142" i="1"/>
  <c r="X142" i="1"/>
  <c r="AV141" i="1"/>
  <c r="AP141" i="1"/>
  <c r="AD141" i="1"/>
  <c r="X141" i="1"/>
  <c r="AV140" i="1"/>
  <c r="AP140" i="1"/>
  <c r="AD140" i="1"/>
  <c r="AV139" i="1"/>
  <c r="AJ139" i="1"/>
  <c r="AD139" i="1"/>
  <c r="AV138" i="1"/>
  <c r="AJ138" i="1"/>
  <c r="AD138" i="1"/>
  <c r="R138" i="1"/>
  <c r="AV137" i="1"/>
  <c r="AJ137" i="1"/>
  <c r="R137" i="1"/>
  <c r="AJ136" i="1"/>
  <c r="X136" i="1"/>
  <c r="R136" i="1"/>
  <c r="AP135" i="1"/>
  <c r="AJ135" i="1"/>
  <c r="X135" i="1"/>
  <c r="R135" i="1"/>
  <c r="AP134" i="1"/>
  <c r="X134" i="1"/>
  <c r="AP133" i="1"/>
  <c r="AD133" i="1"/>
  <c r="X133" i="1"/>
  <c r="AV132" i="1"/>
  <c r="AP132" i="1"/>
  <c r="AD132" i="1"/>
  <c r="AV131" i="1"/>
  <c r="AD131" i="1"/>
  <c r="R131" i="1"/>
  <c r="AV130" i="1"/>
  <c r="AJ130" i="1"/>
  <c r="AD130" i="1"/>
  <c r="R130" i="1"/>
  <c r="AV129" i="1"/>
  <c r="AJ129" i="1"/>
  <c r="X129" i="1"/>
  <c r="R129" i="1"/>
  <c r="AP128" i="1"/>
  <c r="AJ128" i="1"/>
  <c r="X128" i="1"/>
  <c r="R128" i="1"/>
  <c r="AP127" i="1"/>
  <c r="AJ127" i="1"/>
  <c r="X127" i="1"/>
  <c r="R127" i="1"/>
  <c r="AP126" i="1"/>
  <c r="AD126" i="1"/>
  <c r="X126" i="1"/>
  <c r="AP125" i="1"/>
  <c r="AD125" i="1"/>
  <c r="X125" i="1"/>
  <c r="AV124" i="1"/>
  <c r="AP124" i="1"/>
  <c r="AD124" i="1"/>
  <c r="AV123" i="1"/>
  <c r="AD123" i="1"/>
  <c r="AV122" i="1"/>
  <c r="AJ122" i="1"/>
  <c r="AD122" i="1"/>
  <c r="R122" i="1"/>
  <c r="AV121" i="1"/>
  <c r="AJ121" i="1"/>
  <c r="R121" i="1"/>
  <c r="AP120" i="1"/>
  <c r="AJ120" i="1"/>
  <c r="X120" i="1"/>
  <c r="R120" i="1"/>
  <c r="AP119" i="1"/>
  <c r="AJ119" i="1"/>
  <c r="X119" i="1"/>
  <c r="R119" i="1"/>
  <c r="AP118" i="1"/>
  <c r="X118" i="1"/>
  <c r="AV117" i="1"/>
  <c r="AP117" i="1"/>
  <c r="AD117" i="1"/>
  <c r="X117" i="1"/>
  <c r="AV116" i="1"/>
  <c r="AP116" i="1"/>
  <c r="AD116" i="1"/>
  <c r="AV115" i="1"/>
  <c r="AJ115" i="1"/>
  <c r="AD115" i="1"/>
  <c r="AV114" i="1"/>
  <c r="AJ114" i="1"/>
  <c r="AD114" i="1"/>
  <c r="R114" i="1"/>
  <c r="AV113" i="1"/>
  <c r="AJ113" i="1"/>
  <c r="R113" i="1"/>
  <c r="AP167" i="1"/>
  <c r="AJ167" i="1"/>
  <c r="X167" i="1"/>
  <c r="R167" i="1"/>
  <c r="AP112" i="1"/>
  <c r="AJ112" i="1"/>
  <c r="X112" i="1"/>
  <c r="R112" i="1"/>
  <c r="AP111" i="1"/>
  <c r="AJ111" i="1"/>
  <c r="X111" i="1"/>
  <c r="R111" i="1"/>
  <c r="AP110" i="1"/>
  <c r="AD110" i="1"/>
  <c r="X110" i="1"/>
  <c r="AP109" i="1"/>
  <c r="AD109" i="1"/>
  <c r="X109" i="1"/>
  <c r="AV108" i="1"/>
  <c r="AP108" i="1"/>
  <c r="AD108" i="1"/>
  <c r="AV107" i="1"/>
  <c r="AD107" i="1"/>
  <c r="AV106" i="1"/>
  <c r="AJ106" i="1"/>
  <c r="AD106" i="1"/>
  <c r="R106" i="1"/>
  <c r="AV105" i="1"/>
  <c r="AJ105" i="1"/>
  <c r="R105" i="1"/>
  <c r="AJ104" i="1"/>
  <c r="X104" i="1"/>
  <c r="R104" i="1"/>
  <c r="AP103" i="1"/>
  <c r="AJ103" i="1"/>
  <c r="X103" i="1"/>
  <c r="R103" i="1"/>
  <c r="AP102" i="1"/>
  <c r="X102" i="1"/>
  <c r="AV101" i="1"/>
  <c r="AP101" i="1"/>
  <c r="AD101" i="1"/>
  <c r="X101" i="1"/>
  <c r="AV100" i="1"/>
  <c r="AP100" i="1"/>
  <c r="AD100" i="1"/>
  <c r="AV99" i="1"/>
  <c r="AJ99" i="1"/>
  <c r="AD99" i="1"/>
  <c r="R99" i="1"/>
  <c r="AV98" i="1"/>
  <c r="AJ98" i="1"/>
  <c r="AD98" i="1"/>
  <c r="R98" i="1"/>
  <c r="AV97" i="1"/>
  <c r="AJ97" i="1"/>
  <c r="R97" i="1"/>
  <c r="AJ96" i="1"/>
  <c r="X96" i="1"/>
  <c r="R96" i="1"/>
  <c r="AP95" i="1"/>
  <c r="AJ95" i="1"/>
  <c r="X95" i="1"/>
  <c r="R95" i="1"/>
  <c r="AP94" i="1"/>
  <c r="X94" i="1"/>
  <c r="AP93" i="1"/>
  <c r="AD93" i="1"/>
  <c r="X93" i="1"/>
  <c r="AV92" i="1"/>
  <c r="AP92" i="1"/>
  <c r="AD92" i="1"/>
  <c r="AV91" i="1"/>
  <c r="AD91" i="1"/>
  <c r="R91" i="1"/>
  <c r="AV90" i="1"/>
  <c r="AJ90" i="1"/>
  <c r="AD90" i="1"/>
  <c r="R90" i="1"/>
  <c r="AV89" i="1"/>
  <c r="AJ89" i="1"/>
  <c r="X89" i="1"/>
  <c r="R89" i="1"/>
  <c r="AP88" i="1"/>
  <c r="AJ88" i="1"/>
  <c r="X88" i="1"/>
  <c r="R88" i="1"/>
  <c r="AP87" i="1"/>
  <c r="AJ87" i="1"/>
  <c r="X87" i="1"/>
  <c r="R87" i="1"/>
  <c r="AP86" i="1"/>
  <c r="AD86" i="1"/>
  <c r="X86" i="1"/>
  <c r="AP85" i="1"/>
  <c r="AD85" i="1"/>
  <c r="X85" i="1"/>
  <c r="AV84" i="1"/>
  <c r="AP84" i="1"/>
  <c r="AD84" i="1"/>
  <c r="AV83" i="1"/>
  <c r="AD83" i="1"/>
  <c r="AV82" i="1"/>
  <c r="AJ82" i="1"/>
  <c r="AD82" i="1"/>
  <c r="R82" i="1"/>
  <c r="AV81" i="1"/>
  <c r="AJ81" i="1"/>
  <c r="R81" i="1"/>
  <c r="AJ80" i="1"/>
  <c r="X80" i="1"/>
  <c r="R80" i="1"/>
  <c r="AP79" i="1"/>
  <c r="AJ79" i="1"/>
  <c r="X79" i="1"/>
  <c r="R79" i="1"/>
  <c r="AP78" i="1"/>
  <c r="X78" i="1"/>
  <c r="AV77" i="1"/>
  <c r="AP77" i="1"/>
  <c r="AD77" i="1"/>
  <c r="X77" i="1"/>
  <c r="AV76" i="1"/>
  <c r="AP76" i="1"/>
  <c r="AD76" i="1"/>
  <c r="AV75" i="1"/>
  <c r="AD75" i="1"/>
  <c r="AV74" i="1"/>
  <c r="AJ74" i="1"/>
  <c r="AD74" i="1"/>
  <c r="R74" i="1"/>
  <c r="AV73" i="1"/>
  <c r="AJ73" i="1"/>
  <c r="X73" i="1"/>
  <c r="R73" i="1"/>
  <c r="AP72" i="1"/>
  <c r="AJ72" i="1"/>
  <c r="X72" i="1"/>
  <c r="R72" i="1"/>
  <c r="AP71" i="1"/>
  <c r="AJ71" i="1"/>
  <c r="X71" i="1"/>
  <c r="R71" i="1"/>
  <c r="AP70" i="1"/>
  <c r="AD70" i="1"/>
  <c r="X70" i="1"/>
  <c r="AP69" i="1"/>
  <c r="AD69" i="1"/>
  <c r="X69" i="1"/>
  <c r="AV68" i="1"/>
  <c r="AP68" i="1"/>
  <c r="AD68" i="1"/>
  <c r="AV67" i="1"/>
  <c r="AD67" i="1"/>
  <c r="AV66" i="1"/>
  <c r="AJ66" i="1"/>
  <c r="AD66" i="1"/>
  <c r="R66" i="1"/>
  <c r="AV65" i="1"/>
  <c r="AJ65" i="1"/>
  <c r="R65" i="1"/>
  <c r="AJ64" i="1"/>
  <c r="X64" i="1"/>
  <c r="R64" i="1"/>
  <c r="AP63" i="1"/>
  <c r="AJ63" i="1"/>
  <c r="X63" i="1"/>
  <c r="R63" i="1"/>
  <c r="AP62" i="1"/>
  <c r="AD62" i="1"/>
  <c r="X62" i="1"/>
  <c r="AV61" i="1"/>
  <c r="AP61" i="1"/>
  <c r="AD61" i="1"/>
  <c r="X61" i="1"/>
  <c r="AW22" i="1"/>
  <c r="AQ22" i="1"/>
  <c r="AK22" i="1"/>
  <c r="AE22" i="1"/>
  <c r="Y22" i="1"/>
  <c r="S22" i="1"/>
  <c r="M22" i="1"/>
  <c r="AU224" i="1"/>
  <c r="AU20" i="1" s="1"/>
  <c r="AS224" i="1"/>
  <c r="AT20" i="1" s="1"/>
  <c r="AS223" i="1"/>
  <c r="AT19" i="1" s="1"/>
  <c r="AV220" i="1"/>
  <c r="AV219" i="1"/>
  <c r="AV218" i="1"/>
  <c r="AV217" i="1"/>
  <c r="AV212" i="1"/>
  <c r="AV211" i="1"/>
  <c r="AV210" i="1"/>
  <c r="AV209" i="1"/>
  <c r="AV205" i="1"/>
  <c r="AV204" i="1"/>
  <c r="AV203" i="1"/>
  <c r="AV202" i="1"/>
  <c r="AV201" i="1"/>
  <c r="AV196" i="1"/>
  <c r="AV195" i="1"/>
  <c r="AV194" i="1"/>
  <c r="AV193" i="1"/>
  <c r="AV189" i="1"/>
  <c r="AV188" i="1"/>
  <c r="AV187" i="1"/>
  <c r="AV186" i="1"/>
  <c r="AV185" i="1"/>
  <c r="AV181" i="1"/>
  <c r="AV180" i="1"/>
  <c r="AV179" i="1"/>
  <c r="AV178" i="1"/>
  <c r="AV177" i="1"/>
  <c r="AV172" i="1"/>
  <c r="AV171" i="1"/>
  <c r="AV170" i="1"/>
  <c r="AV169" i="1"/>
  <c r="AV60" i="1"/>
  <c r="AV59" i="1"/>
  <c r="AV58" i="1"/>
  <c r="AV57" i="1"/>
  <c r="AV52" i="1"/>
  <c r="AV51" i="1"/>
  <c r="AV50" i="1"/>
  <c r="AV49" i="1"/>
  <c r="AV45" i="1"/>
  <c r="AV44" i="1"/>
  <c r="AV43" i="1"/>
  <c r="AV42" i="1"/>
  <c r="AV41" i="1"/>
  <c r="AV37" i="1"/>
  <c r="AV36" i="1"/>
  <c r="AV35" i="1"/>
  <c r="AV34" i="1"/>
  <c r="AV33" i="1"/>
  <c r="AV28" i="1"/>
  <c r="AV27" i="1"/>
  <c r="AV26" i="1"/>
  <c r="AV25" i="1"/>
  <c r="AV24" i="1"/>
  <c r="AV22" i="1"/>
  <c r="AU22" i="1"/>
  <c r="AS22" i="1"/>
  <c r="AO224" i="1"/>
  <c r="AO20" i="1" s="1"/>
  <c r="AM224" i="1"/>
  <c r="AN20" i="1" s="1"/>
  <c r="AM223" i="1"/>
  <c r="AN19" i="1" s="1"/>
  <c r="AP220" i="1"/>
  <c r="AP215" i="1"/>
  <c r="AP214" i="1"/>
  <c r="AP213" i="1"/>
  <c r="AP212" i="1"/>
  <c r="AP207" i="1"/>
  <c r="AP206" i="1"/>
  <c r="AP205" i="1"/>
  <c r="AP204" i="1"/>
  <c r="AP199" i="1"/>
  <c r="AP198" i="1"/>
  <c r="AP197" i="1"/>
  <c r="AP196" i="1"/>
  <c r="AP191" i="1"/>
  <c r="AP190" i="1"/>
  <c r="AP189" i="1"/>
  <c r="AP188" i="1"/>
  <c r="AP183" i="1"/>
  <c r="AP182" i="1"/>
  <c r="AP181" i="1"/>
  <c r="AP180" i="1"/>
  <c r="AP175" i="1"/>
  <c r="AP174" i="1"/>
  <c r="AP173" i="1"/>
  <c r="AP172" i="1"/>
  <c r="AP60" i="1"/>
  <c r="AP56" i="1"/>
  <c r="AP55" i="1"/>
  <c r="AP54" i="1"/>
  <c r="AP53" i="1"/>
  <c r="AP52" i="1"/>
  <c r="AP47" i="1"/>
  <c r="AP46" i="1"/>
  <c r="AP45" i="1"/>
  <c r="AP44" i="1"/>
  <c r="AP40" i="1"/>
  <c r="AP39" i="1"/>
  <c r="AP38" i="1"/>
  <c r="AP37" i="1"/>
  <c r="AP36" i="1"/>
  <c r="AP31" i="1"/>
  <c r="AP30" i="1"/>
  <c r="AP29" i="1"/>
  <c r="AP28" i="1"/>
  <c r="AP24" i="1"/>
  <c r="AP22" i="1"/>
  <c r="AO22" i="1"/>
  <c r="AM22" i="1"/>
  <c r="AJ199" i="1"/>
  <c r="X199" i="1"/>
  <c r="R199" i="1"/>
  <c r="X198" i="1"/>
  <c r="AD197" i="1"/>
  <c r="X197" i="1"/>
  <c r="AD196" i="1"/>
  <c r="AJ195" i="1"/>
  <c r="AD195" i="1"/>
  <c r="R195" i="1"/>
  <c r="AJ194" i="1"/>
  <c r="AD194" i="1"/>
  <c r="R194" i="1"/>
  <c r="AJ193" i="1"/>
  <c r="R193" i="1"/>
  <c r="AJ192" i="1"/>
  <c r="X192" i="1"/>
  <c r="R192" i="1"/>
  <c r="AJ191" i="1"/>
  <c r="X191" i="1"/>
  <c r="R191" i="1"/>
  <c r="X190" i="1"/>
  <c r="AD189" i="1"/>
  <c r="X189" i="1"/>
  <c r="AD188" i="1"/>
  <c r="AD187" i="1"/>
  <c r="AJ186" i="1"/>
  <c r="AD186" i="1"/>
  <c r="R186" i="1"/>
  <c r="AJ185" i="1"/>
  <c r="X185" i="1"/>
  <c r="R185" i="1"/>
  <c r="AJ184" i="1"/>
  <c r="X184" i="1"/>
  <c r="R184" i="1"/>
  <c r="AJ183" i="1"/>
  <c r="X183" i="1"/>
  <c r="R183" i="1"/>
  <c r="AD182" i="1"/>
  <c r="X182" i="1"/>
  <c r="AD181" i="1"/>
  <c r="X181" i="1"/>
  <c r="AD180" i="1"/>
  <c r="AD179" i="1"/>
  <c r="L28" i="1"/>
  <c r="AD28" i="1"/>
  <c r="L29" i="1"/>
  <c r="X29" i="1"/>
  <c r="AD29" i="1"/>
  <c r="L30" i="1"/>
  <c r="X30" i="1"/>
  <c r="L31" i="1"/>
  <c r="R31" i="1"/>
  <c r="X31" i="1"/>
  <c r="AJ31" i="1"/>
  <c r="R32" i="1"/>
  <c r="X32" i="1"/>
  <c r="AJ32" i="1"/>
  <c r="R33" i="1"/>
  <c r="X33" i="1"/>
  <c r="AJ33" i="1"/>
  <c r="R34" i="1"/>
  <c r="AD34" i="1"/>
  <c r="AJ34" i="1"/>
  <c r="L35" i="1"/>
  <c r="AD35" i="1"/>
  <c r="AJ35" i="1"/>
  <c r="L36" i="1"/>
  <c r="AD36" i="1"/>
  <c r="L37" i="1"/>
  <c r="X37" i="1"/>
  <c r="AD37" i="1"/>
  <c r="L38" i="1"/>
  <c r="X38" i="1"/>
  <c r="AD38" i="1"/>
  <c r="L39" i="1"/>
  <c r="R39" i="1"/>
  <c r="X39" i="1"/>
  <c r="AJ39" i="1"/>
  <c r="R40" i="1"/>
  <c r="X40" i="1"/>
  <c r="AJ40" i="1"/>
  <c r="R41" i="1"/>
  <c r="X41" i="1"/>
  <c r="AJ41" i="1"/>
  <c r="R42" i="1"/>
  <c r="AD42" i="1"/>
  <c r="AJ42" i="1"/>
  <c r="AD43" i="1"/>
  <c r="AD44" i="1"/>
  <c r="X45" i="1"/>
  <c r="AD45" i="1"/>
  <c r="X46" i="1"/>
  <c r="R47" i="1"/>
  <c r="X47" i="1"/>
  <c r="AJ47" i="1"/>
  <c r="R48" i="1"/>
  <c r="X48" i="1"/>
  <c r="AJ48" i="1"/>
  <c r="R49" i="1"/>
  <c r="AJ49" i="1"/>
  <c r="R50" i="1"/>
  <c r="AD50" i="1"/>
  <c r="AJ50" i="1"/>
  <c r="R51" i="1"/>
  <c r="AD51" i="1"/>
  <c r="AJ51" i="1"/>
  <c r="AD52" i="1"/>
  <c r="X53" i="1"/>
  <c r="AD53" i="1"/>
  <c r="X54" i="1"/>
  <c r="AD54" i="1"/>
  <c r="R55" i="1"/>
  <c r="X55" i="1"/>
  <c r="AJ55" i="1"/>
  <c r="R56" i="1"/>
  <c r="X56" i="1"/>
  <c r="AJ56" i="1"/>
  <c r="R57" i="1"/>
  <c r="X57" i="1"/>
  <c r="AJ57" i="1"/>
  <c r="R58" i="1"/>
  <c r="AD58" i="1"/>
  <c r="AJ58" i="1"/>
  <c r="AD59" i="1"/>
  <c r="AD60" i="1"/>
  <c r="R168" i="1"/>
  <c r="X168" i="1"/>
  <c r="AJ168" i="1"/>
  <c r="R169" i="1"/>
  <c r="AJ169" i="1"/>
  <c r="R170" i="1"/>
  <c r="AD170" i="1"/>
  <c r="AJ170" i="1"/>
  <c r="R171" i="1"/>
  <c r="AD171" i="1"/>
  <c r="AJ171" i="1"/>
  <c r="AD172" i="1"/>
  <c r="X173" i="1"/>
  <c r="AD173" i="1"/>
  <c r="X174" i="1"/>
  <c r="R175" i="1"/>
  <c r="X175" i="1"/>
  <c r="AJ175" i="1"/>
  <c r="R176" i="1"/>
  <c r="X176" i="1"/>
  <c r="AJ176" i="1"/>
  <c r="R177" i="1"/>
  <c r="AJ177" i="1"/>
  <c r="R178" i="1"/>
  <c r="AD178" i="1"/>
  <c r="AJ178" i="1"/>
  <c r="R200" i="1"/>
  <c r="X200" i="1"/>
  <c r="AJ200" i="1"/>
  <c r="R201" i="1"/>
  <c r="X201" i="1"/>
  <c r="AJ201" i="1"/>
  <c r="R202" i="1"/>
  <c r="AD202" i="1"/>
  <c r="AJ202" i="1"/>
  <c r="AD203" i="1"/>
  <c r="AD204" i="1"/>
  <c r="X205" i="1"/>
  <c r="AD205" i="1"/>
  <c r="X206" i="1"/>
  <c r="R207" i="1"/>
  <c r="X207" i="1"/>
  <c r="AJ207" i="1"/>
  <c r="R208" i="1"/>
  <c r="X208" i="1"/>
  <c r="AJ208" i="1"/>
  <c r="R209" i="1"/>
  <c r="AJ209" i="1"/>
  <c r="R210" i="1"/>
  <c r="AD210" i="1"/>
  <c r="AJ210" i="1"/>
  <c r="R211" i="1"/>
  <c r="AD211" i="1"/>
  <c r="AJ211" i="1"/>
  <c r="AD212" i="1"/>
  <c r="X213" i="1"/>
  <c r="AD213" i="1"/>
  <c r="X214" i="1"/>
  <c r="AD214" i="1"/>
  <c r="R215" i="1"/>
  <c r="X215" i="1"/>
  <c r="AJ215" i="1"/>
  <c r="R216" i="1"/>
  <c r="AJ216" i="1"/>
  <c r="R217" i="1"/>
  <c r="AJ217" i="1"/>
  <c r="R218" i="1"/>
  <c r="AD218" i="1"/>
  <c r="AJ218" i="1"/>
  <c r="R219" i="1"/>
  <c r="AD219" i="1"/>
  <c r="AD220" i="1"/>
  <c r="O22" i="1"/>
  <c r="Q22" i="1"/>
  <c r="R22" i="1"/>
  <c r="U22" i="1"/>
  <c r="W22" i="1"/>
  <c r="X22" i="1"/>
  <c r="AA22" i="1"/>
  <c r="AC22" i="1"/>
  <c r="AD22" i="1"/>
  <c r="AG22" i="1"/>
  <c r="AI22" i="1"/>
  <c r="AJ22" i="1"/>
  <c r="X24" i="1"/>
  <c r="AD24" i="1"/>
  <c r="R25" i="1"/>
  <c r="AJ25" i="1"/>
  <c r="R26" i="1"/>
  <c r="AD26" i="1"/>
  <c r="AJ26" i="1"/>
  <c r="R27" i="1"/>
  <c r="AD27" i="1"/>
  <c r="O223" i="1"/>
  <c r="P19" i="1" s="1"/>
  <c r="U223" i="1"/>
  <c r="V19" i="1" s="1"/>
  <c r="AA223" i="1"/>
  <c r="AB19" i="1" s="1"/>
  <c r="AG223" i="1"/>
  <c r="AH19" i="1" s="1"/>
  <c r="O224" i="1"/>
  <c r="P20" i="1" s="1"/>
  <c r="Q224" i="1"/>
  <c r="Q20" i="1" s="1"/>
  <c r="U224" i="1"/>
  <c r="V20" i="1" s="1"/>
  <c r="W224" i="1"/>
  <c r="W20" i="1" s="1"/>
  <c r="AA224" i="1"/>
  <c r="AB20" i="1"/>
  <c r="AC224" i="1"/>
  <c r="AC20" i="1" s="1"/>
  <c r="AG224" i="1"/>
  <c r="AH20" i="1" s="1"/>
  <c r="AI224" i="1"/>
  <c r="AI20" i="1" s="1"/>
  <c r="K224" i="1"/>
  <c r="K20" i="1" s="1"/>
  <c r="L27" i="1"/>
  <c r="I224" i="1"/>
  <c r="J20" i="1" s="1"/>
  <c r="I223" i="1"/>
  <c r="J19" i="1" s="1"/>
  <c r="L24" i="1"/>
  <c r="K22" i="1"/>
  <c r="L22" i="1"/>
  <c r="L43" i="1"/>
  <c r="L44" i="1"/>
  <c r="L45" i="1"/>
  <c r="L46" i="1"/>
  <c r="L51" i="1"/>
  <c r="L52" i="1"/>
  <c r="L53" i="1"/>
  <c r="L54" i="1"/>
  <c r="L59" i="1"/>
  <c r="L61" i="1"/>
  <c r="L115" i="1"/>
  <c r="L60" i="1"/>
  <c r="L116" i="1"/>
  <c r="L62" i="1"/>
  <c r="L117" i="1"/>
  <c r="L118" i="1"/>
  <c r="L119" i="1"/>
  <c r="L67" i="1"/>
  <c r="L68" i="1"/>
  <c r="L123" i="1"/>
  <c r="L69" i="1"/>
  <c r="L70" i="1"/>
  <c r="L124" i="1"/>
  <c r="L125" i="1"/>
  <c r="L71" i="1"/>
  <c r="L126" i="1"/>
  <c r="L75" i="1"/>
  <c r="L76" i="1"/>
  <c r="L77" i="1"/>
  <c r="L131" i="1"/>
  <c r="L78" i="1"/>
  <c r="L132" i="1"/>
  <c r="L133" i="1"/>
  <c r="L134" i="1"/>
  <c r="L83" i="1"/>
  <c r="L84" i="1"/>
  <c r="L85" i="1"/>
  <c r="L139" i="1"/>
  <c r="L86" i="1"/>
  <c r="L140" i="1"/>
  <c r="L141" i="1"/>
  <c r="L142" i="1"/>
  <c r="L143" i="1"/>
  <c r="L91" i="1"/>
  <c r="L92" i="1"/>
  <c r="L147" i="1"/>
  <c r="L93" i="1"/>
  <c r="L94" i="1"/>
  <c r="L148" i="1"/>
  <c r="L149" i="1"/>
  <c r="L150" i="1"/>
  <c r="L151" i="1"/>
  <c r="L99" i="1"/>
  <c r="L100" i="1"/>
  <c r="L101" i="1"/>
  <c r="L155" i="1"/>
  <c r="L156" i="1"/>
  <c r="L102" i="1"/>
  <c r="L103" i="1"/>
  <c r="L157" i="1"/>
  <c r="L158" i="1"/>
  <c r="L107" i="1"/>
  <c r="L108" i="1"/>
  <c r="L163" i="1"/>
  <c r="L109" i="1"/>
  <c r="L110" i="1"/>
  <c r="L164" i="1"/>
  <c r="L165" i="1"/>
  <c r="L166" i="1"/>
  <c r="L171" i="1"/>
  <c r="L172" i="1"/>
  <c r="L174" i="1"/>
  <c r="L173" i="1"/>
  <c r="L175" i="1"/>
  <c r="L179" i="1"/>
  <c r="L180" i="1"/>
  <c r="L181" i="1"/>
  <c r="L182" i="1"/>
  <c r="L183" i="1"/>
  <c r="L187" i="1"/>
  <c r="L188" i="1"/>
  <c r="L189" i="1"/>
  <c r="L190" i="1"/>
  <c r="L195" i="1"/>
  <c r="L196" i="1"/>
  <c r="L197" i="1"/>
  <c r="L198" i="1"/>
  <c r="L199" i="1"/>
  <c r="L203" i="1"/>
  <c r="L204" i="1"/>
  <c r="L205" i="1"/>
  <c r="L206" i="1"/>
  <c r="L211" i="1"/>
  <c r="L212" i="1"/>
  <c r="L213" i="1"/>
  <c r="L214" i="1"/>
  <c r="L219" i="1"/>
  <c r="L220" i="1"/>
  <c r="X216" i="1"/>
  <c r="AP216" i="1"/>
  <c r="AD223" i="1" l="1"/>
  <c r="AD224" i="1" s="1"/>
  <c r="AD20" i="1" s="1"/>
  <c r="W223" i="1"/>
  <c r="W19" i="1" s="1"/>
  <c r="X223" i="1"/>
  <c r="R223" i="1"/>
  <c r="R224" i="1" s="1"/>
  <c r="R20" i="1" s="1"/>
  <c r="AO223" i="1"/>
  <c r="AO19" i="1" s="1"/>
  <c r="AU223" i="1"/>
  <c r="AU19" i="1" s="1"/>
  <c r="B4" i="1"/>
  <c r="AJ223" i="1"/>
  <c r="AJ224" i="1" s="1"/>
  <c r="AJ20" i="1" s="1"/>
  <c r="K223" i="1"/>
  <c r="K19" i="1" s="1"/>
  <c r="L25" i="1"/>
  <c r="L223" i="1" s="1"/>
  <c r="L224" i="1" s="1"/>
  <c r="L20" i="1" s="1"/>
  <c r="AC223" i="1"/>
  <c r="AC19" i="1" s="1"/>
  <c r="AV223" i="1"/>
  <c r="AV19" i="1" s="1"/>
  <c r="AP223" i="1"/>
  <c r="AP19" i="1" s="1"/>
  <c r="Q223" i="1"/>
  <c r="Q19" i="1" s="1"/>
  <c r="AI223" i="1"/>
  <c r="AI19" i="1" s="1"/>
  <c r="AY7" i="1"/>
  <c r="S227" i="1"/>
  <c r="AK227" i="1"/>
  <c r="AE227" i="1"/>
  <c r="AW227" i="1"/>
  <c r="M227" i="1"/>
  <c r="Y227" i="1"/>
  <c r="AQ227" i="1"/>
  <c r="AW223" i="1" l="1"/>
  <c r="AW19" i="1" s="1"/>
  <c r="AW20" i="1" s="1"/>
  <c r="AE223" i="1"/>
  <c r="AE19" i="1" s="1"/>
  <c r="AE20" i="1" s="1"/>
  <c r="R19" i="1"/>
  <c r="M223" i="1"/>
  <c r="M224" i="1" s="1"/>
  <c r="L19" i="1"/>
  <c r="AD19" i="1"/>
  <c r="AQ223" i="1"/>
  <c r="AQ19" i="1" s="1"/>
  <c r="AQ20" i="1" s="1"/>
  <c r="Y223" i="1"/>
  <c r="Y224" i="1" s="1"/>
  <c r="AJ19" i="1"/>
  <c r="AP224" i="1"/>
  <c r="AP20" i="1" s="1"/>
  <c r="X224" i="1"/>
  <c r="X20" i="1" s="1"/>
  <c r="X19" i="1"/>
  <c r="AK223" i="1"/>
  <c r="AK19" i="1" s="1"/>
  <c r="AK20" i="1" s="1"/>
  <c r="AV224" i="1"/>
  <c r="AV20" i="1" s="1"/>
  <c r="S223" i="1"/>
  <c r="S19" i="1" s="1"/>
  <c r="S20" i="1" s="1"/>
  <c r="AE224" i="1" l="1"/>
  <c r="Y19" i="1"/>
  <c r="Y20" i="1" s="1"/>
  <c r="AW224" i="1"/>
  <c r="AQ224" i="1"/>
  <c r="M19" i="1"/>
  <c r="M20" i="1" s="1"/>
  <c r="AK224" i="1"/>
  <c r="S224" i="1"/>
</calcChain>
</file>

<file path=xl/sharedStrings.xml><?xml version="1.0" encoding="utf-8"?>
<sst xmlns="http://schemas.openxmlformats.org/spreadsheetml/2006/main" count="215" uniqueCount="103">
  <si>
    <t>Item#</t>
  </si>
  <si>
    <t>Description</t>
  </si>
  <si>
    <t>Mfg</t>
  </si>
  <si>
    <t>Mfg P/N</t>
  </si>
  <si>
    <t>Loc</t>
  </si>
  <si>
    <t>Qty</t>
  </si>
  <si>
    <t>Price</t>
  </si>
  <si>
    <t>Total</t>
  </si>
  <si>
    <t>Notes</t>
  </si>
  <si>
    <t>Adj. Total</t>
  </si>
  <si>
    <t>Longest Lead Time:</t>
  </si>
  <si>
    <t>QQTY</t>
  </si>
  <si>
    <t>QQTY2</t>
  </si>
  <si>
    <t>QQTY3</t>
  </si>
  <si>
    <t>QQTY4</t>
  </si>
  <si>
    <t>QQTY5</t>
  </si>
  <si>
    <t xml:space="preserve">Total Components: </t>
  </si>
  <si>
    <t>Multiplier ^</t>
  </si>
  <si>
    <t>BOM QUOTE</t>
  </si>
  <si>
    <t>SMT/TH</t>
  </si>
  <si>
    <t xml:space="preserve">SMT: </t>
  </si>
  <si>
    <t>Referral by:</t>
  </si>
  <si>
    <t xml:space="preserve">Hand Assy: </t>
  </si>
  <si>
    <t>Attr. Cost</t>
  </si>
  <si>
    <t>Total w/ atr</t>
  </si>
  <si>
    <t>Total attrition cost for run:</t>
  </si>
  <si>
    <t>weeks to ship</t>
  </si>
  <si>
    <t>Components</t>
  </si>
  <si>
    <t>TOTAL</t>
  </si>
  <si>
    <t>Lines</t>
  </si>
  <si>
    <t xml:space="preserve">Through Hole: </t>
  </si>
  <si>
    <t>notes:</t>
  </si>
  <si>
    <t>CHECK FOR BLANK PRICING</t>
  </si>
  <si>
    <t>lines missing prices!</t>
  </si>
  <si>
    <t>Oz</t>
  </si>
  <si>
    <t>Cubic inches</t>
  </si>
  <si>
    <t>Total Area</t>
  </si>
  <si>
    <t>Both sides of Board</t>
  </si>
  <si>
    <t>Viscosity &amp; Wastage factor</t>
  </si>
  <si>
    <t>Thickness of coating</t>
  </si>
  <si>
    <t>Width of board
in inches</t>
  </si>
  <si>
    <t>Length of board
in inches</t>
  </si>
  <si>
    <t>Conformal Coating Volume Calculations</t>
  </si>
  <si>
    <t>Locations</t>
  </si>
  <si>
    <t>Number of locations</t>
  </si>
  <si>
    <t>Inch</t>
  </si>
  <si>
    <t>Epoxy Volume Calculations</t>
  </si>
  <si>
    <t>RTV Silicone Volume Calculations</t>
  </si>
  <si>
    <t>Perimeter</t>
  </si>
  <si>
    <t>Default HEIGHT</t>
  </si>
  <si>
    <t>(By default, x 3mm=0.11")</t>
  </si>
  <si>
    <t>Length of part</t>
  </si>
  <si>
    <t>Width of part</t>
  </si>
  <si>
    <t>(By default,
 x 1.2)</t>
  </si>
  <si>
    <t>(By default x2)</t>
  </si>
  <si>
    <t>(By default, x 2.54mm=0.1")</t>
  </si>
  <si>
    <t>HEAT SINK GREASE Volume Calculations</t>
  </si>
  <si>
    <t>(By default, x 0.1")</t>
  </si>
  <si>
    <t>Potting compound Volume Calculations</t>
  </si>
  <si>
    <t>Area of Cap
in inches sq.</t>
  </si>
  <si>
    <t>Depth of Cap in inches</t>
  </si>
  <si>
    <t>Setup &amp; Wastage factor
(By default x 1.2)</t>
  </si>
  <si>
    <t>Total Area
Cubic inches</t>
  </si>
  <si>
    <t>Total Area
Oz</t>
  </si>
  <si>
    <t xml:space="preserve">Fine Pitch, QFP, QFN, or BGA: </t>
  </si>
  <si>
    <t>Conformal Coating 
part number</t>
  </si>
  <si>
    <t>Change Date</t>
  </si>
  <si>
    <t>Changed By</t>
  </si>
  <si>
    <t>Changes</t>
  </si>
  <si>
    <t>Line/Item Affected</t>
  </si>
  <si>
    <t>REVISION RECORD for BOM Quote Template</t>
  </si>
  <si>
    <t xml:space="preserve">Fine Pitch, QFP, QFN, or BGA  </t>
  </si>
  <si>
    <t>Chemicals pricing</t>
  </si>
  <si>
    <t>Added for better understanding and to show others how pricing was calculated</t>
  </si>
  <si>
    <t>Rev</t>
  </si>
  <si>
    <t>A</t>
  </si>
  <si>
    <t>B</t>
  </si>
  <si>
    <t>Abhishek Patel</t>
  </si>
  <si>
    <t>Added for better understanding and clearing concepts</t>
  </si>
  <si>
    <t>QQTY6</t>
  </si>
  <si>
    <t>QQTY7</t>
  </si>
  <si>
    <t>(By default 20%, x 0.2 )</t>
  </si>
  <si>
    <t>1A33</t>
  </si>
  <si>
    <t>https://www.ellsworth.com/products/by-manufacturer/humiseal/conformal-coatings/polyurethane/humiseal-1a33-polyurethane-conformal-coating-clear-263-g-aerosol/</t>
  </si>
  <si>
    <t>Qty per can 
263g = 9.27705 Oz</t>
  </si>
  <si>
    <t>Price per can</t>
  </si>
  <si>
    <t>Oz per board</t>
  </si>
  <si>
    <t>Number of boards</t>
  </si>
  <si>
    <t>Total number of oz</t>
  </si>
  <si>
    <t>Total number of cans</t>
  </si>
  <si>
    <t>Total price</t>
  </si>
  <si>
    <t>Price per board</t>
  </si>
  <si>
    <t>Lookup this website every time for latest pricing</t>
  </si>
  <si>
    <t>Conformal Coating Pricing Calculations</t>
  </si>
  <si>
    <t>Tariff</t>
  </si>
  <si>
    <t>Added Tariff Column</t>
  </si>
  <si>
    <t>Adam Jeraci</t>
  </si>
  <si>
    <t>C</t>
  </si>
  <si>
    <t>Added Tariff Tab</t>
  </si>
  <si>
    <t>Added column for Tariffs and added formula to add tariff to price.</t>
  </si>
  <si>
    <t>Added tab to cut/paste Mouser output for tariffs &amp; renamed sheet 1 to BOM.</t>
  </si>
  <si>
    <t>D</t>
  </si>
  <si>
    <t>Cathy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</si>
</sst>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mm/dd/yy;@"/>
    <numFmt numFmtId="165" formatCode="0.00000"/>
    <numFmt numFmtId="166" formatCode="&quot;$&quot;#,##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2" borderId="28" applyNumberFormat="0" applyAlignment="0" applyProtection="0"/>
  </cellStyleXfs>
  <cellXfs count="98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wrapText="1"/>
    </xf>
    <xf numFmtId="0" fontId="1" fillId="0" borderId="1" xfId="0" applyFont="1" applyBorder="1"/>
    <xf numFmtId="0" fontId="1" fillId="0" borderId="3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0" xfId="0" applyFont="1" applyAlignment="1">
      <alignment horizontal="right"/>
    </xf>
    <xf numFmtId="2" fontId="2" fillId="0" borderId="1" xfId="0" applyNumberFormat="1" applyFont="1" applyBorder="1"/>
    <xf numFmtId="0" fontId="3" fillId="0" borderId="0" xfId="0" applyFont="1"/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2" fontId="2" fillId="0" borderId="0" xfId="0" applyNumberFormat="1" applyFont="1" applyAlignment="1">
      <alignment horizontal="right"/>
    </xf>
    <xf numFmtId="2" fontId="2" fillId="0" borderId="4" xfId="0" applyNumberFormat="1" applyFont="1" applyBorder="1"/>
    <xf numFmtId="2" fontId="1" fillId="0" borderId="7" xfId="0" applyNumberFormat="1" applyFont="1" applyBorder="1"/>
    <xf numFmtId="0" fontId="2" fillId="0" borderId="8" xfId="0" applyFont="1" applyBorder="1"/>
    <xf numFmtId="0" fontId="2" fillId="0" borderId="9" xfId="0" applyFont="1" applyBorder="1"/>
    <xf numFmtId="2" fontId="1" fillId="0" borderId="10" xfId="0" applyNumberFormat="1" applyFont="1" applyBorder="1"/>
    <xf numFmtId="2" fontId="2" fillId="0" borderId="11" xfId="0" applyNumberFormat="1" applyFont="1" applyBorder="1"/>
    <xf numFmtId="2" fontId="1" fillId="0" borderId="12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10" fontId="2" fillId="0" borderId="6" xfId="0" applyNumberFormat="1" applyFont="1" applyBorder="1"/>
    <xf numFmtId="2" fontId="2" fillId="0" borderId="6" xfId="0" applyNumberFormat="1" applyFont="1" applyBorder="1"/>
    <xf numFmtId="2" fontId="1" fillId="0" borderId="11" xfId="0" applyNumberFormat="1" applyFont="1" applyBorder="1"/>
    <xf numFmtId="2" fontId="1" fillId="0" borderId="13" xfId="0" applyNumberFormat="1" applyFont="1" applyBorder="1"/>
    <xf numFmtId="2" fontId="1" fillId="0" borderId="14" xfId="0" applyNumberFormat="1" applyFont="1" applyBorder="1"/>
    <xf numFmtId="2" fontId="1" fillId="0" borderId="15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0" borderId="22" xfId="0" applyFont="1" applyBorder="1"/>
    <xf numFmtId="0" fontId="4" fillId="0" borderId="23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0" xfId="0" applyFont="1" applyAlignment="1">
      <alignment horizontal="left"/>
    </xf>
    <xf numFmtId="0" fontId="4" fillId="0" borderId="3" xfId="0" applyFont="1" applyBorder="1"/>
    <xf numFmtId="0" fontId="4" fillId="0" borderId="24" xfId="0" applyFont="1" applyBorder="1" applyAlignment="1">
      <alignment horizontal="left"/>
    </xf>
    <xf numFmtId="0" fontId="4" fillId="0" borderId="24" xfId="0" applyFont="1" applyBorder="1"/>
    <xf numFmtId="0" fontId="4" fillId="0" borderId="6" xfId="0" applyFont="1" applyBorder="1"/>
    <xf numFmtId="0" fontId="5" fillId="0" borderId="27" xfId="0" applyFont="1" applyBorder="1" applyAlignment="1">
      <alignment vertical="center" wrapText="1"/>
    </xf>
    <xf numFmtId="0" fontId="6" fillId="0" borderId="0" xfId="0" applyFont="1"/>
    <xf numFmtId="0" fontId="7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7" fillId="0" borderId="27" xfId="0" applyFont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11" fillId="2" borderId="28" xfId="2" applyNumberFormat="1" applyFont="1" applyAlignment="1" applyProtection="1">
      <alignment horizontal="center"/>
      <protection locked="0"/>
    </xf>
    <xf numFmtId="0" fontId="11" fillId="2" borderId="28" xfId="2" applyFont="1" applyAlignment="1" applyProtection="1">
      <alignment horizontal="center"/>
      <protection locked="0"/>
    </xf>
    <xf numFmtId="49" fontId="11" fillId="2" borderId="28" xfId="2" applyNumberFormat="1" applyFont="1" applyAlignment="1" applyProtection="1">
      <alignment horizontal="center"/>
      <protection locked="0"/>
    </xf>
    <xf numFmtId="0" fontId="11" fillId="2" borderId="28" xfId="2" applyFont="1" applyAlignment="1" applyProtection="1">
      <alignment horizontal="left" vertical="center" wrapText="1"/>
      <protection locked="0"/>
    </xf>
    <xf numFmtId="0" fontId="11" fillId="2" borderId="28" xfId="2" applyFont="1" applyAlignment="1" applyProtection="1">
      <alignment horizontal="center" vertical="center"/>
      <protection locked="0"/>
    </xf>
    <xf numFmtId="0" fontId="12" fillId="0" borderId="29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30" xfId="0" applyFont="1" applyBorder="1" applyAlignment="1">
      <alignment horizontal="center"/>
    </xf>
    <xf numFmtId="0" fontId="13" fillId="0" borderId="0" xfId="0" applyFont="1" applyAlignment="1">
      <alignment vertical="top" wrapText="1"/>
    </xf>
    <xf numFmtId="49" fontId="0" fillId="0" borderId="0" xfId="0" applyNumberFormat="1"/>
    <xf numFmtId="0" fontId="9" fillId="0" borderId="0" xfId="1"/>
    <xf numFmtId="0" fontId="15" fillId="0" borderId="0" xfId="0" applyFont="1"/>
    <xf numFmtId="8" fontId="7" fillId="0" borderId="25" xfId="0" applyNumberFormat="1" applyFont="1" applyBorder="1" applyAlignment="1">
      <alignment horizontal="center" vertical="center" wrapText="1"/>
    </xf>
    <xf numFmtId="165" fontId="7" fillId="0" borderId="25" xfId="0" applyNumberFormat="1" applyFont="1" applyBorder="1" applyAlignment="1">
      <alignment horizontal="center" vertical="center" wrapText="1"/>
    </xf>
    <xf numFmtId="166" fontId="7" fillId="0" borderId="25" xfId="0" applyNumberFormat="1" applyFont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2" fontId="1" fillId="0" borderId="8" xfId="0" applyNumberFormat="1" applyFont="1" applyBorder="1"/>
    <xf numFmtId="2" fontId="1" fillId="0" borderId="6" xfId="0" applyNumberFormat="1" applyFont="1" applyBorder="1"/>
    <xf numFmtId="2" fontId="1" fillId="0" borderId="31" xfId="0" applyNumberFormat="1" applyFont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26" xfId="0" applyBorder="1" applyAlignment="1">
      <alignment vertical="center" wrapText="1"/>
    </xf>
  </cellXfs>
  <cellStyles count="3">
    <cellStyle name="Calculation" xfId="2" builtinId="22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5</xdr:col>
      <xdr:colOff>304800</xdr:colOff>
      <xdr:row>20</xdr:row>
      <xdr:rowOff>219075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90525" y="1600200"/>
          <a:ext cx="5229225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104775</xdr:rowOff>
    </xdr:from>
    <xdr:to>
      <xdr:col>14</xdr:col>
      <xdr:colOff>504825</xdr:colOff>
      <xdr:row>20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BB82B-A932-26F5-B2EF-8042F7EDB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104775"/>
          <a:ext cx="7886700" cy="374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0</xdr:row>
      <xdr:rowOff>76200</xdr:rowOff>
    </xdr:from>
    <xdr:to>
      <xdr:col>26</xdr:col>
      <xdr:colOff>457200</xdr:colOff>
      <xdr:row>24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62D2DC-2D92-65EE-529D-7B394133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76200"/>
          <a:ext cx="7058025" cy="458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238125</xdr:colOff>
      <xdr:row>20</xdr:row>
      <xdr:rowOff>171450</xdr:rowOff>
    </xdr:from>
    <xdr:to>
      <xdr:col>14</xdr:col>
      <xdr:colOff>390525</xdr:colOff>
      <xdr:row>35</xdr:row>
      <xdr:rowOff>123825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EF6350C-0B45-4935-1BBD-19BA2A44394B}"/>
            </a:ext>
          </a:extLst>
        </xdr:cNvPr>
        <xdr:cNvGrpSpPr/>
      </xdr:nvGrpSpPr>
      <xdr:grpSpPr>
        <a:xfrm>
          <a:off x="5114925" y="3981450"/>
          <a:ext cx="3810000" cy="2809875"/>
          <a:chOff x="5114925" y="3981450"/>
          <a:chExt cx="3810000" cy="28098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174A9C8-44DA-4E28-C8FC-C721559170A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14925" y="3981450"/>
            <a:ext cx="3810000" cy="2809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EA794B93-F4D7-3D17-98EF-52AD077CCD1C}"/>
              </a:ext>
            </a:extLst>
          </xdr:cNvPr>
          <xdr:cNvSpPr txBox="1"/>
        </xdr:nvSpPr>
        <xdr:spPr>
          <a:xfrm>
            <a:off x="5143500" y="3990975"/>
            <a:ext cx="7620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/>
              <a:t>QFP</a:t>
            </a:r>
          </a:p>
        </xdr:txBody>
      </xdr:sp>
    </xdr:grpSp>
    <xdr:clientData/>
  </xdr:twoCellAnchor>
  <xdr:twoCellAnchor>
    <xdr:from>
      <xdr:col>15</xdr:col>
      <xdr:colOff>209550</xdr:colOff>
      <xdr:row>25</xdr:row>
      <xdr:rowOff>9525</xdr:rowOff>
    </xdr:from>
    <xdr:to>
      <xdr:col>24</xdr:col>
      <xdr:colOff>438150</xdr:colOff>
      <xdr:row>34</xdr:row>
      <xdr:rowOff>104775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EA2885F-2F8A-A96A-06D5-1638BBEA1FDA}"/>
            </a:ext>
          </a:extLst>
        </xdr:cNvPr>
        <xdr:cNvGrpSpPr/>
      </xdr:nvGrpSpPr>
      <xdr:grpSpPr>
        <a:xfrm>
          <a:off x="9353550" y="4772025"/>
          <a:ext cx="5715000" cy="1809750"/>
          <a:chOff x="9353550" y="4772025"/>
          <a:chExt cx="5715000" cy="1809750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45A48C26-F5F9-6CC9-6446-8BDE61DDAD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353550" y="4829175"/>
            <a:ext cx="5715000" cy="1752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66F577-5440-4605-A6B6-0000E35AA069}"/>
              </a:ext>
            </a:extLst>
          </xdr:cNvPr>
          <xdr:cNvSpPr txBox="1"/>
        </xdr:nvSpPr>
        <xdr:spPr>
          <a:xfrm>
            <a:off x="12925425" y="4772025"/>
            <a:ext cx="7620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/>
              <a:t>QFN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i-serv2\purchasing\%23OPEN%23\attr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QTY</v>
          </cell>
          <cell r="B1" t="str">
            <v>COST</v>
          </cell>
        </row>
        <row r="2">
          <cell r="A2">
            <v>250</v>
          </cell>
          <cell r="B2">
            <v>1E-4</v>
          </cell>
        </row>
        <row r="3">
          <cell r="A3">
            <v>150</v>
          </cell>
          <cell r="B3">
            <v>0.04</v>
          </cell>
        </row>
        <row r="4">
          <cell r="A4">
            <v>100</v>
          </cell>
          <cell r="B4">
            <v>7.0000000000000007E-2</v>
          </cell>
        </row>
        <row r="5">
          <cell r="A5">
            <v>35</v>
          </cell>
          <cell r="B5">
            <v>0.15</v>
          </cell>
        </row>
        <row r="6">
          <cell r="A6">
            <v>20</v>
          </cell>
          <cell r="B6">
            <v>0.25</v>
          </cell>
        </row>
        <row r="7">
          <cell r="A7">
            <v>15</v>
          </cell>
          <cell r="B7">
            <v>0.35</v>
          </cell>
        </row>
        <row r="8">
          <cell r="A8">
            <v>10</v>
          </cell>
          <cell r="B8">
            <v>0.5</v>
          </cell>
        </row>
        <row r="9">
          <cell r="A9">
            <v>5</v>
          </cell>
          <cell r="B9">
            <v>1</v>
          </cell>
        </row>
        <row r="10">
          <cell r="A10">
            <v>5</v>
          </cell>
          <cell r="B10">
            <v>1.5</v>
          </cell>
        </row>
        <row r="11">
          <cell r="A11">
            <v>2</v>
          </cell>
          <cell r="B11">
            <v>2.5</v>
          </cell>
        </row>
        <row r="12">
          <cell r="A12">
            <v>0</v>
          </cell>
          <cell r="B12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ellsworth.com/products/by-manufacturer/humiseal/conformal-coatings/polyurethane/humiseal-1a33-polyurethane-conformal-coating-clear-263-g-aeroso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C227"/>
  <sheetViews>
    <sheetView tabSelected="1" zoomScale="85" zoomScaleNormal="85" workbookViewId="0"/>
  </sheetViews>
  <sheetFormatPr defaultRowHeight="18" customHeight="1" x14ac:dyDescent="0.2"/>
  <cols>
    <col min="1" max="1" width="5.85546875" style="3" customWidth="1"/>
    <col min="2" max="2" width="39.85546875" style="1" customWidth="1"/>
    <col min="3" max="3" width="17.5703125" style="1" customWidth="1"/>
    <col min="4" max="4" width="19.140625" style="1" customWidth="1"/>
    <col min="5" max="5" width="8.5703125" style="1" customWidth="1"/>
    <col min="6" max="6" width="9.28515625" style="1" bestFit="1" customWidth="1"/>
    <col min="7" max="7" width="6.5703125" style="1" customWidth="1"/>
    <col min="8" max="8" width="7.85546875" style="1" bestFit="1" customWidth="1"/>
    <col min="9" max="9" width="8.7109375" style="2" bestFit="1" customWidth="1"/>
    <col min="10" max="10" width="8.7109375" style="2" customWidth="1"/>
    <col min="11" max="11" width="10.28515625" style="1" customWidth="1"/>
    <col min="12" max="12" width="9.42578125" style="1" bestFit="1" customWidth="1"/>
    <col min="13" max="13" width="9.42578125" style="1" customWidth="1"/>
    <col min="14" max="14" width="7.5703125" style="1" bestFit="1" customWidth="1"/>
    <col min="15" max="15" width="8.7109375" style="2" bestFit="1" customWidth="1"/>
    <col min="16" max="16" width="8.7109375" style="2" customWidth="1"/>
    <col min="17" max="17" width="8.7109375" style="1" customWidth="1"/>
    <col min="18" max="18" width="9.42578125" style="1" bestFit="1" customWidth="1"/>
    <col min="19" max="19" width="9.42578125" style="1" customWidth="1"/>
    <col min="20" max="20" width="8.5703125" style="1" bestFit="1" customWidth="1"/>
    <col min="21" max="21" width="8.7109375" style="2" bestFit="1" customWidth="1"/>
    <col min="22" max="22" width="8.7109375" style="2" customWidth="1"/>
    <col min="23" max="23" width="8.7109375" style="1" customWidth="1"/>
    <col min="24" max="24" width="9.42578125" style="1" bestFit="1" customWidth="1"/>
    <col min="25" max="25" width="9.42578125" style="1" customWidth="1"/>
    <col min="26" max="26" width="7.28515625" style="1" bestFit="1" customWidth="1"/>
    <col min="27" max="27" width="8.7109375" style="2" bestFit="1" customWidth="1"/>
    <col min="28" max="28" width="8.7109375" style="2" customWidth="1"/>
    <col min="29" max="29" width="8.7109375" style="1" customWidth="1"/>
    <col min="30" max="30" width="9.42578125" style="1" bestFit="1" customWidth="1"/>
    <col min="31" max="31" width="9.42578125" style="1" customWidth="1"/>
    <col min="32" max="32" width="7.28515625" style="1" bestFit="1" customWidth="1"/>
    <col min="33" max="33" width="8.7109375" style="2" bestFit="1" customWidth="1"/>
    <col min="34" max="34" width="8.7109375" style="2" customWidth="1"/>
    <col min="35" max="35" width="8.7109375" style="1" customWidth="1"/>
    <col min="36" max="36" width="9.42578125" style="1" bestFit="1" customWidth="1"/>
    <col min="37" max="37" width="9.42578125" style="1" customWidth="1"/>
    <col min="38" max="38" width="7.28515625" style="1" bestFit="1" customWidth="1"/>
    <col min="39" max="39" width="8.7109375" style="2" bestFit="1" customWidth="1"/>
    <col min="40" max="40" width="8.7109375" style="2" customWidth="1"/>
    <col min="41" max="41" width="8.7109375" style="1" customWidth="1"/>
    <col min="42" max="42" width="9.42578125" style="1" bestFit="1" customWidth="1"/>
    <col min="43" max="43" width="9.42578125" style="1" customWidth="1"/>
    <col min="44" max="44" width="7.28515625" style="1" bestFit="1" customWidth="1"/>
    <col min="45" max="45" width="8.7109375" style="2" bestFit="1" customWidth="1"/>
    <col min="46" max="46" width="8.7109375" style="2" customWidth="1"/>
    <col min="47" max="47" width="8.7109375" style="1" customWidth="1"/>
    <col min="48" max="48" width="9.42578125" style="1" bestFit="1" customWidth="1"/>
    <col min="49" max="49" width="9.42578125" style="1" customWidth="1"/>
    <col min="50" max="50" width="28.28515625" style="1" customWidth="1"/>
    <col min="51" max="16384" width="9.140625" style="1"/>
  </cols>
  <sheetData>
    <row r="2" spans="1:54" s="18" customFormat="1" ht="18" customHeight="1" x14ac:dyDescent="0.25">
      <c r="A2" s="17"/>
      <c r="B2" s="18" t="s">
        <v>18</v>
      </c>
      <c r="I2" s="19"/>
      <c r="J2" s="19"/>
      <c r="O2" s="20"/>
      <c r="P2" s="20"/>
      <c r="U2" s="20"/>
      <c r="V2" s="20"/>
      <c r="AA2" s="20"/>
      <c r="AB2" s="20"/>
      <c r="AG2" s="20"/>
      <c r="AH2" s="20"/>
      <c r="AM2" s="20"/>
      <c r="AN2" s="20"/>
      <c r="AS2" s="20"/>
      <c r="AT2" s="20"/>
    </row>
    <row r="3" spans="1:54" ht="18" customHeight="1" x14ac:dyDescent="0.2">
      <c r="B3" s="13"/>
      <c r="I3" s="11"/>
      <c r="J3" s="11"/>
    </row>
    <row r="4" spans="1:54" ht="18" customHeight="1" x14ac:dyDescent="0.25">
      <c r="B4" s="54">
        <f>COUNTIF(BC24:BC220,"ERROR")</f>
        <v>0</v>
      </c>
      <c r="C4" s="55" t="s">
        <v>33</v>
      </c>
      <c r="D4" s="56"/>
      <c r="E4" s="57"/>
      <c r="I4" s="11"/>
      <c r="J4" s="11"/>
    </row>
    <row r="5" spans="1:54" ht="18" customHeight="1" thickBot="1" x14ac:dyDescent="0.25">
      <c r="B5" s="13"/>
      <c r="I5" s="11"/>
      <c r="J5" s="11"/>
    </row>
    <row r="6" spans="1:54" s="18" customFormat="1" ht="18" customHeight="1" thickBot="1" x14ac:dyDescent="0.3">
      <c r="A6" s="17"/>
      <c r="B6" s="47" t="s">
        <v>21</v>
      </c>
      <c r="C6" s="92"/>
      <c r="D6" s="93"/>
      <c r="I6" s="19"/>
      <c r="J6" s="19"/>
      <c r="O6" s="20"/>
      <c r="P6" s="20"/>
      <c r="U6" s="20"/>
      <c r="V6" s="20"/>
      <c r="AA6" s="20"/>
      <c r="AB6" s="20"/>
      <c r="AG6" s="20"/>
      <c r="AH6" s="20"/>
      <c r="AM6" s="20"/>
      <c r="AN6" s="20"/>
      <c r="AS6" s="20"/>
      <c r="AT6" s="20"/>
    </row>
    <row r="7" spans="1:54" s="18" customFormat="1" ht="18" customHeight="1" thickBot="1" x14ac:dyDescent="0.3">
      <c r="A7" s="17"/>
      <c r="B7" s="47" t="s">
        <v>10</v>
      </c>
      <c r="C7" s="51"/>
      <c r="D7" s="52" t="s">
        <v>26</v>
      </c>
      <c r="O7" s="20"/>
      <c r="P7" s="20"/>
      <c r="U7" s="20"/>
      <c r="V7" s="20"/>
      <c r="AA7" s="20"/>
      <c r="AB7" s="20"/>
      <c r="AG7" s="20"/>
      <c r="AH7" s="20"/>
      <c r="AM7" s="20"/>
      <c r="AN7" s="20"/>
      <c r="AS7" s="20"/>
      <c r="AT7" s="20"/>
      <c r="AY7" s="54">
        <f>COUNTIF(BC24:BC220,"ERROR")</f>
        <v>0</v>
      </c>
      <c r="AZ7" s="55" t="s">
        <v>33</v>
      </c>
      <c r="BA7" s="56"/>
      <c r="BB7" s="57"/>
    </row>
    <row r="8" spans="1:54" s="18" customFormat="1" ht="18" customHeight="1" thickBot="1" x14ac:dyDescent="0.3">
      <c r="A8" s="17"/>
      <c r="B8" s="48"/>
      <c r="C8" s="49"/>
      <c r="D8" s="50"/>
      <c r="I8" s="19"/>
      <c r="J8" s="19"/>
      <c r="O8" s="20"/>
      <c r="P8" s="20"/>
      <c r="U8" s="20"/>
      <c r="V8" s="20"/>
      <c r="AA8" s="20"/>
      <c r="AB8" s="20"/>
      <c r="AG8" s="20"/>
      <c r="AH8" s="20"/>
      <c r="AM8" s="20"/>
      <c r="AN8" s="20"/>
      <c r="AS8" s="20"/>
      <c r="AT8" s="20"/>
    </row>
    <row r="9" spans="1:54" s="18" customFormat="1" ht="18" customHeight="1" x14ac:dyDescent="0.25">
      <c r="A9" s="17"/>
      <c r="B9" s="39" t="s">
        <v>16</v>
      </c>
      <c r="C9" s="40" t="s">
        <v>27</v>
      </c>
      <c r="D9" s="41" t="s">
        <v>29</v>
      </c>
      <c r="I9" s="19"/>
      <c r="J9" s="19"/>
      <c r="O9" s="20"/>
      <c r="P9" s="20"/>
      <c r="U9" s="20"/>
      <c r="V9" s="20"/>
      <c r="AA9" s="20"/>
      <c r="AB9" s="20"/>
      <c r="AG9" s="20"/>
      <c r="AH9" s="20"/>
      <c r="AM9" s="20"/>
      <c r="AN9" s="20"/>
      <c r="AS9" s="20"/>
      <c r="AT9" s="20"/>
    </row>
    <row r="10" spans="1:54" s="18" customFormat="1" ht="18" customHeight="1" x14ac:dyDescent="0.25">
      <c r="A10" s="17"/>
      <c r="B10" s="42" t="s">
        <v>20</v>
      </c>
      <c r="C10" s="38">
        <f>SUMIF(F24:F220,"SMT",E24:E220)+SUMIF(F24:F220,"SMD",E24:E220)</f>
        <v>0</v>
      </c>
      <c r="D10" s="43">
        <f>COUNTIFS(F24:F220,"SMT")+COUNTIFS(F24:F220,"SMD")</f>
        <v>0</v>
      </c>
      <c r="I10" s="19"/>
      <c r="J10" s="19"/>
      <c r="O10" s="20"/>
      <c r="P10" s="20"/>
      <c r="U10" s="20"/>
      <c r="V10" s="20"/>
      <c r="AA10" s="20"/>
      <c r="AB10" s="20"/>
      <c r="AG10" s="20"/>
      <c r="AH10" s="20"/>
      <c r="AM10" s="20"/>
      <c r="AN10" s="20"/>
      <c r="AS10" s="20"/>
      <c r="AT10" s="20"/>
    </row>
    <row r="11" spans="1:54" s="18" customFormat="1" ht="18" customHeight="1" x14ac:dyDescent="0.25">
      <c r="A11" s="17"/>
      <c r="B11" s="42" t="s">
        <v>64</v>
      </c>
      <c r="C11" s="38">
        <f>SUMIF(F24:F220,"QFN",E24:E220)+SUMIF(F24:F220,"BGA",E24:E220)+SUMIF(F24:F220,"QFP",E24:E220)+SUMIF(F24:F220,"FINE PITCH",E24:E220)</f>
        <v>0</v>
      </c>
      <c r="D11" s="43">
        <f>COUNTIFS(F24:F220,"QFN",E24:E220,"&lt;&gt;")+COUNTIFS(F24:F220,"BGA",E24:E220,"&lt;&gt;")+COUNTIFS(F24:F220,"QFP",E24:E220,"&lt;&gt;")+COUNTIFS(F24:F220,"FINE PITCH",E24:E220,"&lt;&gt;")</f>
        <v>0</v>
      </c>
      <c r="I11" s="19"/>
      <c r="J11" s="19"/>
      <c r="O11" s="20"/>
      <c r="P11" s="20"/>
      <c r="U11" s="20"/>
      <c r="V11" s="20"/>
      <c r="AA11" s="20"/>
      <c r="AB11" s="20"/>
      <c r="AG11" s="20"/>
      <c r="AH11" s="20"/>
      <c r="AM11" s="20"/>
      <c r="AN11" s="20"/>
      <c r="AS11" s="20"/>
      <c r="AT11" s="20"/>
    </row>
    <row r="12" spans="1:54" s="18" customFormat="1" ht="18" customHeight="1" x14ac:dyDescent="0.25">
      <c r="A12" s="17"/>
      <c r="B12" s="42" t="s">
        <v>30</v>
      </c>
      <c r="C12" s="37">
        <f>SUMIF(F24:F220,"TH",E24:E220)</f>
        <v>0</v>
      </c>
      <c r="D12" s="43">
        <f>COUNTIFS(F24:F220,"TH",E24:E220,"&lt;&gt;")</f>
        <v>0</v>
      </c>
      <c r="I12" s="19"/>
      <c r="J12" s="19"/>
      <c r="O12" s="20"/>
      <c r="P12" s="20"/>
      <c r="U12" s="20"/>
      <c r="V12" s="20"/>
      <c r="AA12" s="20"/>
      <c r="AB12" s="20"/>
      <c r="AG12" s="20"/>
      <c r="AH12" s="20"/>
      <c r="AM12" s="20"/>
      <c r="AN12" s="20"/>
      <c r="AS12" s="20"/>
      <c r="AT12" s="20"/>
    </row>
    <row r="13" spans="1:54" s="18" customFormat="1" ht="18" customHeight="1" x14ac:dyDescent="0.25">
      <c r="A13" s="17"/>
      <c r="B13" s="42" t="s">
        <v>22</v>
      </c>
      <c r="C13" s="37">
        <f>SUMIF(F24:F220,"HAND",E24:E220)</f>
        <v>0</v>
      </c>
      <c r="D13" s="43">
        <f>COUNTIFS(F24:F220,"HAND",E24:E220,"&lt;&gt;")</f>
        <v>0</v>
      </c>
      <c r="I13" s="19"/>
      <c r="J13" s="19"/>
      <c r="O13" s="20"/>
      <c r="P13" s="20"/>
      <c r="U13" s="20"/>
      <c r="V13" s="20"/>
      <c r="AA13" s="20"/>
      <c r="AB13" s="20"/>
      <c r="AG13" s="20"/>
      <c r="AH13" s="20"/>
      <c r="AM13" s="20"/>
      <c r="AN13" s="20"/>
      <c r="AS13" s="20"/>
      <c r="AT13" s="20"/>
    </row>
    <row r="14" spans="1:54" s="18" customFormat="1" ht="18" customHeight="1" thickBot="1" x14ac:dyDescent="0.3">
      <c r="A14" s="17"/>
      <c r="B14" s="44" t="s">
        <v>28</v>
      </c>
      <c r="C14" s="45">
        <f>SUM(E24:E220)</f>
        <v>0</v>
      </c>
      <c r="D14" s="46">
        <f>COUNTIFS(E24:E220,"&gt;0",E24:E220,"&lt;&gt;")</f>
        <v>0</v>
      </c>
      <c r="I14" s="19"/>
      <c r="J14" s="19"/>
      <c r="O14" s="20"/>
      <c r="P14" s="20"/>
      <c r="U14" s="20"/>
      <c r="V14" s="20"/>
      <c r="AA14" s="20"/>
      <c r="AB14" s="20"/>
      <c r="AG14" s="20"/>
      <c r="AH14" s="20"/>
      <c r="AM14" s="20"/>
      <c r="AN14" s="20"/>
      <c r="AS14" s="20"/>
      <c r="AT14" s="20"/>
    </row>
    <row r="15" spans="1:54" ht="18" customHeight="1" x14ac:dyDescent="0.25">
      <c r="B15" s="53" t="s">
        <v>31</v>
      </c>
      <c r="C15" s="18"/>
      <c r="D15" s="18"/>
      <c r="I15" s="11"/>
      <c r="J15" s="11"/>
    </row>
    <row r="16" spans="1:54" ht="18" customHeight="1" x14ac:dyDescent="0.2">
      <c r="B16" s="13"/>
      <c r="I16" s="11"/>
      <c r="J16" s="11"/>
    </row>
    <row r="17" spans="1:55" ht="18" customHeight="1" thickBot="1" x14ac:dyDescent="0.25">
      <c r="B17" s="13"/>
      <c r="I17" s="11"/>
      <c r="J17" s="11"/>
    </row>
    <row r="18" spans="1:55" ht="18" customHeight="1" x14ac:dyDescent="0.25">
      <c r="B18" s="13"/>
      <c r="J18" s="23"/>
      <c r="K18" s="24" t="s">
        <v>7</v>
      </c>
      <c r="L18" s="25" t="s">
        <v>9</v>
      </c>
      <c r="M18" s="10" t="s">
        <v>24</v>
      </c>
      <c r="P18" s="23"/>
      <c r="Q18" s="24" t="s">
        <v>7</v>
      </c>
      <c r="R18" s="25" t="s">
        <v>9</v>
      </c>
      <c r="S18" s="10" t="s">
        <v>24</v>
      </c>
      <c r="V18" s="23"/>
      <c r="W18" s="24" t="s">
        <v>7</v>
      </c>
      <c r="X18" s="25" t="s">
        <v>9</v>
      </c>
      <c r="Y18" s="10" t="s">
        <v>24</v>
      </c>
      <c r="AB18" s="23"/>
      <c r="AC18" s="24" t="s">
        <v>7</v>
      </c>
      <c r="AD18" s="25" t="s">
        <v>9</v>
      </c>
      <c r="AE18" s="10" t="s">
        <v>24</v>
      </c>
      <c r="AH18" s="23"/>
      <c r="AI18" s="24" t="s">
        <v>7</v>
      </c>
      <c r="AJ18" s="25" t="s">
        <v>9</v>
      </c>
      <c r="AK18" s="10" t="s">
        <v>24</v>
      </c>
      <c r="AN18" s="23"/>
      <c r="AO18" s="24" t="s">
        <v>7</v>
      </c>
      <c r="AP18" s="25" t="s">
        <v>9</v>
      </c>
      <c r="AQ18" s="10" t="s">
        <v>24</v>
      </c>
      <c r="AT18" s="23"/>
      <c r="AU18" s="24" t="s">
        <v>7</v>
      </c>
      <c r="AV18" s="25" t="s">
        <v>9</v>
      </c>
      <c r="AW18" s="10" t="s">
        <v>24</v>
      </c>
    </row>
    <row r="19" spans="1:55" ht="15" customHeight="1" x14ac:dyDescent="0.25">
      <c r="B19" s="13"/>
      <c r="J19" s="26" t="str">
        <f>I223</f>
        <v>EA 10</v>
      </c>
      <c r="K19" s="8">
        <f t="shared" ref="K19:L20" si="0">K223</f>
        <v>0</v>
      </c>
      <c r="L19" s="33">
        <f t="shared" si="0"/>
        <v>0</v>
      </c>
      <c r="M19" s="32">
        <f>M223</f>
        <v>0</v>
      </c>
      <c r="N19" s="36"/>
      <c r="P19" s="26" t="str">
        <f>O223</f>
        <v>EA 25</v>
      </c>
      <c r="Q19" s="8">
        <f t="shared" ref="Q19:R20" si="1">Q223</f>
        <v>0</v>
      </c>
      <c r="R19" s="33">
        <f t="shared" si="1"/>
        <v>0</v>
      </c>
      <c r="S19" s="32">
        <f>S223</f>
        <v>0</v>
      </c>
      <c r="T19" s="36"/>
      <c r="V19" s="26" t="str">
        <f>U223</f>
        <v>EA 100</v>
      </c>
      <c r="W19" s="8">
        <f t="shared" ref="W19:X20" si="2">W223</f>
        <v>0</v>
      </c>
      <c r="X19" s="33">
        <f t="shared" si="2"/>
        <v>0</v>
      </c>
      <c r="Y19" s="32">
        <f>Y223</f>
        <v>0</v>
      </c>
      <c r="Z19" s="36"/>
      <c r="AB19" s="26" t="str">
        <f>AA223</f>
        <v>EA 1000</v>
      </c>
      <c r="AC19" s="8">
        <f t="shared" ref="AC19:AD20" si="3">AC223</f>
        <v>0</v>
      </c>
      <c r="AD19" s="33">
        <f t="shared" si="3"/>
        <v>0</v>
      </c>
      <c r="AE19" s="32">
        <f>AE223</f>
        <v>0</v>
      </c>
      <c r="AF19" s="36"/>
      <c r="AH19" s="26" t="str">
        <f>AG223</f>
        <v>EA 2500</v>
      </c>
      <c r="AI19" s="8">
        <f t="shared" ref="AI19:AJ20" si="4">AI223</f>
        <v>0</v>
      </c>
      <c r="AJ19" s="33">
        <f t="shared" si="4"/>
        <v>0</v>
      </c>
      <c r="AK19" s="32">
        <f>AK223</f>
        <v>0</v>
      </c>
      <c r="AL19" s="36"/>
      <c r="AN19" s="26" t="str">
        <f>AM223</f>
        <v>EA 5000</v>
      </c>
      <c r="AO19" s="8">
        <f t="shared" ref="AO19:AP19" si="5">AO223</f>
        <v>0</v>
      </c>
      <c r="AP19" s="33">
        <f t="shared" si="5"/>
        <v>0</v>
      </c>
      <c r="AQ19" s="32">
        <f>AQ223</f>
        <v>0</v>
      </c>
      <c r="AR19" s="36"/>
      <c r="AT19" s="26" t="str">
        <f>AS223</f>
        <v>EA 10000</v>
      </c>
      <c r="AU19" s="8">
        <f t="shared" ref="AU19:AV19" si="6">AU223</f>
        <v>0</v>
      </c>
      <c r="AV19" s="33">
        <f t="shared" si="6"/>
        <v>0</v>
      </c>
      <c r="AW19" s="32">
        <f>AW223</f>
        <v>0</v>
      </c>
    </row>
    <row r="20" spans="1:55" ht="18" customHeight="1" thickBot="1" x14ac:dyDescent="0.3">
      <c r="B20" s="13"/>
      <c r="J20" s="28" t="str">
        <f>I224</f>
        <v>EA 10+</v>
      </c>
      <c r="K20" s="34">
        <f t="shared" si="0"/>
        <v>1.1000000000000001</v>
      </c>
      <c r="L20" s="35">
        <f t="shared" si="0"/>
        <v>0</v>
      </c>
      <c r="M20" s="31" t="e">
        <f>1-K19/M19</f>
        <v>#DIV/0!</v>
      </c>
      <c r="N20" s="36"/>
      <c r="P20" s="28" t="str">
        <f>O224</f>
        <v>EA 25+</v>
      </c>
      <c r="Q20" s="34">
        <f t="shared" si="1"/>
        <v>1.08</v>
      </c>
      <c r="R20" s="35">
        <f t="shared" si="1"/>
        <v>0</v>
      </c>
      <c r="S20" s="31" t="e">
        <f>1-Q19/S19</f>
        <v>#DIV/0!</v>
      </c>
      <c r="T20" s="36"/>
      <c r="V20" s="28" t="str">
        <f>U224</f>
        <v>EA 100+</v>
      </c>
      <c r="W20" s="34">
        <f t="shared" si="2"/>
        <v>1.05</v>
      </c>
      <c r="X20" s="35">
        <f t="shared" si="2"/>
        <v>0</v>
      </c>
      <c r="Y20" s="31" t="e">
        <f>1-W19/Y19</f>
        <v>#DIV/0!</v>
      </c>
      <c r="Z20" s="36"/>
      <c r="AB20" s="28" t="str">
        <f>AA224</f>
        <v>EA 1000+</v>
      </c>
      <c r="AC20" s="34">
        <f t="shared" si="3"/>
        <v>1.03</v>
      </c>
      <c r="AD20" s="35">
        <f t="shared" si="3"/>
        <v>0</v>
      </c>
      <c r="AE20" s="31" t="e">
        <f>1-AC19/AE19</f>
        <v>#DIV/0!</v>
      </c>
      <c r="AF20" s="36"/>
      <c r="AH20" s="28" t="str">
        <f>AG224</f>
        <v>EA 2500+</v>
      </c>
      <c r="AI20" s="34">
        <f t="shared" si="4"/>
        <v>1.02</v>
      </c>
      <c r="AJ20" s="35">
        <f t="shared" si="4"/>
        <v>0</v>
      </c>
      <c r="AK20" s="31" t="e">
        <f>1-AI19/AK19</f>
        <v>#DIV/0!</v>
      </c>
      <c r="AL20" s="36"/>
      <c r="AN20" s="28" t="str">
        <f>AM224</f>
        <v>EA 5000+</v>
      </c>
      <c r="AO20" s="34">
        <f t="shared" ref="AO20:AP20" si="7">AO224</f>
        <v>1.0149999999999999</v>
      </c>
      <c r="AP20" s="35">
        <f t="shared" si="7"/>
        <v>0</v>
      </c>
      <c r="AQ20" s="31" t="e">
        <f>1-AO19/AQ19</f>
        <v>#DIV/0!</v>
      </c>
      <c r="AR20" s="36"/>
      <c r="AT20" s="28" t="str">
        <f>AS224</f>
        <v>EA 10000+</v>
      </c>
      <c r="AU20" s="34">
        <f t="shared" ref="AU20:AV20" si="8">AU224</f>
        <v>1.01</v>
      </c>
      <c r="AV20" s="35">
        <f t="shared" si="8"/>
        <v>0</v>
      </c>
      <c r="AW20" s="31" t="e">
        <f>1-AU19/AW19</f>
        <v>#DIV/0!</v>
      </c>
    </row>
    <row r="21" spans="1:55" ht="18" customHeight="1" x14ac:dyDescent="0.2">
      <c r="B21" s="13"/>
      <c r="K21" s="11"/>
      <c r="Q21" s="11"/>
      <c r="W21" s="11"/>
      <c r="AC21" s="11"/>
      <c r="AI21" s="11"/>
      <c r="AO21" s="11"/>
      <c r="AU21" s="11"/>
    </row>
    <row r="22" spans="1:55" ht="18" customHeight="1" x14ac:dyDescent="0.2">
      <c r="H22" s="4" t="s">
        <v>11</v>
      </c>
      <c r="I22" s="14">
        <f>$H23</f>
        <v>10</v>
      </c>
      <c r="J22" s="14">
        <f>$H23</f>
        <v>10</v>
      </c>
      <c r="K22" s="4">
        <f>H23</f>
        <v>10</v>
      </c>
      <c r="L22" s="4">
        <f>H23</f>
        <v>10</v>
      </c>
      <c r="M22" s="4">
        <f>H23</f>
        <v>10</v>
      </c>
      <c r="N22" s="4" t="s">
        <v>12</v>
      </c>
      <c r="O22" s="14">
        <f>N23</f>
        <v>25</v>
      </c>
      <c r="P22" s="14">
        <f>N23</f>
        <v>25</v>
      </c>
      <c r="Q22" s="4">
        <f>N23</f>
        <v>25</v>
      </c>
      <c r="R22" s="4">
        <f>N23</f>
        <v>25</v>
      </c>
      <c r="S22" s="4">
        <f>N23</f>
        <v>25</v>
      </c>
      <c r="T22" s="4" t="s">
        <v>13</v>
      </c>
      <c r="U22" s="14">
        <f>T23</f>
        <v>100</v>
      </c>
      <c r="V22" s="14">
        <f>T23</f>
        <v>100</v>
      </c>
      <c r="W22" s="4">
        <f>T23</f>
        <v>100</v>
      </c>
      <c r="X22" s="4">
        <f>T23</f>
        <v>100</v>
      </c>
      <c r="Y22" s="4">
        <f>T23</f>
        <v>100</v>
      </c>
      <c r="Z22" s="4" t="s">
        <v>14</v>
      </c>
      <c r="AA22" s="14">
        <f>Z23</f>
        <v>1000</v>
      </c>
      <c r="AB22" s="14">
        <f>Z23</f>
        <v>1000</v>
      </c>
      <c r="AC22" s="4">
        <f>Z23</f>
        <v>1000</v>
      </c>
      <c r="AD22" s="4">
        <f>Z23</f>
        <v>1000</v>
      </c>
      <c r="AE22" s="4">
        <f>Z23</f>
        <v>1000</v>
      </c>
      <c r="AF22" s="4" t="s">
        <v>15</v>
      </c>
      <c r="AG22" s="14">
        <f>AF23</f>
        <v>2500</v>
      </c>
      <c r="AH22" s="14">
        <f>AF23</f>
        <v>2500</v>
      </c>
      <c r="AI22" s="4">
        <f>AF23</f>
        <v>2500</v>
      </c>
      <c r="AJ22" s="4">
        <f>AF23</f>
        <v>2500</v>
      </c>
      <c r="AK22" s="4">
        <f>AF23</f>
        <v>2500</v>
      </c>
      <c r="AL22" s="4" t="s">
        <v>79</v>
      </c>
      <c r="AM22" s="14">
        <f>AL23</f>
        <v>5000</v>
      </c>
      <c r="AN22" s="14">
        <f>AL23</f>
        <v>5000</v>
      </c>
      <c r="AO22" s="4">
        <f>AL23</f>
        <v>5000</v>
      </c>
      <c r="AP22" s="4">
        <f>AL23</f>
        <v>5000</v>
      </c>
      <c r="AQ22" s="4">
        <f>AL23</f>
        <v>5000</v>
      </c>
      <c r="AR22" s="4" t="s">
        <v>80</v>
      </c>
      <c r="AS22" s="14">
        <f>AR23</f>
        <v>10000</v>
      </c>
      <c r="AT22" s="14">
        <f>AR23</f>
        <v>10000</v>
      </c>
      <c r="AU22" s="4">
        <f>AR23</f>
        <v>10000</v>
      </c>
      <c r="AV22" s="4">
        <f>AR23</f>
        <v>10000</v>
      </c>
      <c r="AW22" s="4">
        <f>AR23</f>
        <v>10000</v>
      </c>
    </row>
    <row r="23" spans="1:55" ht="15" x14ac:dyDescent="0.25">
      <c r="A23" s="3" t="s">
        <v>0</v>
      </c>
      <c r="B23" s="1" t="s">
        <v>1</v>
      </c>
      <c r="C23" s="1" t="s">
        <v>2</v>
      </c>
      <c r="D23" s="1" t="s">
        <v>3</v>
      </c>
      <c r="E23" s="1" t="s">
        <v>5</v>
      </c>
      <c r="F23" s="10" t="s">
        <v>19</v>
      </c>
      <c r="G23" s="1" t="s">
        <v>4</v>
      </c>
      <c r="H23" s="15">
        <v>10</v>
      </c>
      <c r="I23" s="16" t="s">
        <v>6</v>
      </c>
      <c r="J23" s="16" t="s">
        <v>94</v>
      </c>
      <c r="K23" s="4" t="s">
        <v>7</v>
      </c>
      <c r="L23" s="4" t="s">
        <v>9</v>
      </c>
      <c r="M23" s="4" t="s">
        <v>23</v>
      </c>
      <c r="N23" s="15">
        <v>25</v>
      </c>
      <c r="O23" s="16" t="s">
        <v>6</v>
      </c>
      <c r="P23" s="16" t="s">
        <v>94</v>
      </c>
      <c r="Q23" s="4" t="s">
        <v>7</v>
      </c>
      <c r="R23" s="4" t="s">
        <v>9</v>
      </c>
      <c r="S23" s="4" t="s">
        <v>23</v>
      </c>
      <c r="T23" s="15">
        <v>100</v>
      </c>
      <c r="U23" s="16" t="s">
        <v>6</v>
      </c>
      <c r="V23" s="16" t="s">
        <v>94</v>
      </c>
      <c r="W23" s="4" t="s">
        <v>7</v>
      </c>
      <c r="X23" s="4" t="s">
        <v>9</v>
      </c>
      <c r="Y23" s="4" t="s">
        <v>23</v>
      </c>
      <c r="Z23" s="15">
        <v>1000</v>
      </c>
      <c r="AA23" s="16" t="s">
        <v>6</v>
      </c>
      <c r="AB23" s="16" t="s">
        <v>94</v>
      </c>
      <c r="AC23" s="4" t="s">
        <v>7</v>
      </c>
      <c r="AD23" s="4" t="s">
        <v>9</v>
      </c>
      <c r="AE23" s="4" t="s">
        <v>23</v>
      </c>
      <c r="AF23" s="15">
        <v>2500</v>
      </c>
      <c r="AG23" s="16" t="s">
        <v>6</v>
      </c>
      <c r="AH23" s="16" t="s">
        <v>94</v>
      </c>
      <c r="AI23" s="4" t="s">
        <v>7</v>
      </c>
      <c r="AJ23" s="4" t="s">
        <v>9</v>
      </c>
      <c r="AK23" s="4" t="s">
        <v>23</v>
      </c>
      <c r="AL23" s="15">
        <v>5000</v>
      </c>
      <c r="AM23" s="16" t="s">
        <v>6</v>
      </c>
      <c r="AN23" s="16" t="s">
        <v>94</v>
      </c>
      <c r="AO23" s="4" t="s">
        <v>7</v>
      </c>
      <c r="AP23" s="4" t="s">
        <v>9</v>
      </c>
      <c r="AQ23" s="4" t="s">
        <v>23</v>
      </c>
      <c r="AR23" s="15">
        <v>10000</v>
      </c>
      <c r="AS23" s="16" t="s">
        <v>6</v>
      </c>
      <c r="AT23" s="16" t="s">
        <v>94</v>
      </c>
      <c r="AU23" s="4" t="s">
        <v>7</v>
      </c>
      <c r="AV23" s="4" t="s">
        <v>9</v>
      </c>
      <c r="AW23" s="4" t="s">
        <v>23</v>
      </c>
      <c r="AX23" s="3" t="s">
        <v>8</v>
      </c>
      <c r="BC23" s="1" t="s">
        <v>32</v>
      </c>
    </row>
    <row r="24" spans="1:55" ht="18" customHeight="1" x14ac:dyDescent="0.2">
      <c r="A24" s="4"/>
      <c r="B24" s="5"/>
      <c r="C24" s="6"/>
      <c r="D24" s="6"/>
      <c r="E24" s="6"/>
      <c r="F24" s="4"/>
      <c r="G24" s="7"/>
      <c r="H24" s="6">
        <f>$H$23*$E24</f>
        <v>0</v>
      </c>
      <c r="I24" s="8"/>
      <c r="J24" s="8"/>
      <c r="K24" s="8">
        <f>(I24+J24)*$E24</f>
        <v>0</v>
      </c>
      <c r="L24" s="8">
        <f>IF(K24&gt;0,IF(K24*$H$23&lt;2.5,2.5/$H$23,K24),0)</f>
        <v>0</v>
      </c>
      <c r="M24" s="8">
        <f>IFERROR((I24+J24)*INDEX([1]Sheet1!$A$1:$A$13,MATCH((I24+J24),[1]Sheet1!$B$1:$B$13)),0)</f>
        <v>0</v>
      </c>
      <c r="N24" s="6">
        <f>$N$23*$E24</f>
        <v>0</v>
      </c>
      <c r="O24" s="8"/>
      <c r="P24" s="8">
        <f>IFERROR(($J24/$I24)*O24,0)</f>
        <v>0</v>
      </c>
      <c r="Q24" s="8">
        <f>(O24+P24)*$E24</f>
        <v>0</v>
      </c>
      <c r="R24" s="8">
        <f>IF(Q24&gt;0,IF(Q24*$N$23&lt;2.5,2.5/$N$23,Q24),0)</f>
        <v>0</v>
      </c>
      <c r="S24" s="8">
        <f>IFERROR((O24+P24)*INDEX([1]Sheet1!$A$1:$A$13,MATCH((O24+P24),[1]Sheet1!$B$1:$B$13)),0)</f>
        <v>0</v>
      </c>
      <c r="T24" s="6">
        <f>$T$23*$E24</f>
        <v>0</v>
      </c>
      <c r="U24" s="8"/>
      <c r="V24" s="8">
        <f>IFERROR(($J24/$I24)*U24,0)</f>
        <v>0</v>
      </c>
      <c r="W24" s="8">
        <f>(U24+V24)*$E24</f>
        <v>0</v>
      </c>
      <c r="X24" s="8">
        <f>IF(W24&gt;0,IF(W24*$T$23&lt;2.5,2.5/$T$23,W24),0)</f>
        <v>0</v>
      </c>
      <c r="Y24" s="8">
        <f>IFERROR((U24+V24)*INDEX([1]Sheet1!$A$1:$A$13,MATCH((U24+V24),[1]Sheet1!$B$1:$B$13)),0)</f>
        <v>0</v>
      </c>
      <c r="Z24" s="6">
        <f>$Z$23*$E24</f>
        <v>0</v>
      </c>
      <c r="AA24" s="8"/>
      <c r="AB24" s="8">
        <f>IFERROR(($J24/$I24)*AA24,0)</f>
        <v>0</v>
      </c>
      <c r="AC24" s="8">
        <f>(AA24+AB24)*$E24</f>
        <v>0</v>
      </c>
      <c r="AD24" s="8">
        <f>IF(AC24&gt;0,IF(AC24*$Z$23&lt;2.5,2.5/$Z$23,AC24),0)</f>
        <v>0</v>
      </c>
      <c r="AE24" s="8">
        <f>IFERROR((AA24+AB24)*INDEX([1]Sheet1!$A$1:$A$13,MATCH((AA24+AB24),[1]Sheet1!$B$1:$B$13)),0)</f>
        <v>0</v>
      </c>
      <c r="AF24" s="6">
        <f>$AF$23*$E24</f>
        <v>0</v>
      </c>
      <c r="AG24" s="8"/>
      <c r="AH24" s="8">
        <f>IFERROR(($J24/$I24)*AG24,0)</f>
        <v>0</v>
      </c>
      <c r="AI24" s="8">
        <f>(AG24+AH24)*$E24</f>
        <v>0</v>
      </c>
      <c r="AJ24" s="8">
        <f>IF(AI24&gt;0,IF(AI24*$AF$23&lt;2.5,2.5/$AF$23,AI24),0)</f>
        <v>0</v>
      </c>
      <c r="AK24" s="8">
        <f>IFERROR((AG24+AH24)*INDEX([1]Sheet1!$A$1:$A$13,MATCH((AG24+AH24),[1]Sheet1!$B$1:$B$13)),0)</f>
        <v>0</v>
      </c>
      <c r="AL24" s="6">
        <f>$AL$23*$E24</f>
        <v>0</v>
      </c>
      <c r="AM24" s="8"/>
      <c r="AN24" s="8">
        <f>IFERROR(($J24/$I24)*AM24,0)</f>
        <v>0</v>
      </c>
      <c r="AO24" s="8">
        <f>(AM24+AN24)*$E24</f>
        <v>0</v>
      </c>
      <c r="AP24" s="8">
        <f t="shared" ref="AP24:AP55" si="9">IF(AO24&gt;0,IF(AO24*$AL$23&lt;2.5,2.5/$AL$23,AO24),0)</f>
        <v>0</v>
      </c>
      <c r="AQ24" s="8">
        <f>IFERROR((AM24+AN24)*INDEX([1]Sheet1!$A$1:$A$13,MATCH((AM24+AN24),[1]Sheet1!$B$1:$B$13)),0)</f>
        <v>0</v>
      </c>
      <c r="AR24" s="6">
        <f>$AR$23*$E24</f>
        <v>0</v>
      </c>
      <c r="AS24" s="8"/>
      <c r="AT24" s="8">
        <f>IFERROR(($J24/$I24)*AS24,0)</f>
        <v>0</v>
      </c>
      <c r="AU24" s="8">
        <f>(AS24+AT24)*$E24</f>
        <v>0</v>
      </c>
      <c r="AV24" s="8">
        <f t="shared" ref="AV24:AV55" si="10">IF(AU24&gt;0,IF(AU24*$AR$23&lt;2.5,2.5/$AR$23,AU24),0)</f>
        <v>0</v>
      </c>
      <c r="AW24" s="8">
        <f>IFERROR((AS24+AT24)*INDEX([1]Sheet1!$A$1:$A$13,MATCH((AS24+AT24),[1]Sheet1!$B$1:$B$13)),0)</f>
        <v>0</v>
      </c>
      <c r="BC24" s="1" t="str">
        <f>IF(E24&gt;0,(IF(I24&gt;0,"","ERROR")),"")</f>
        <v/>
      </c>
    </row>
    <row r="25" spans="1:55" ht="18" customHeight="1" x14ac:dyDescent="0.2">
      <c r="A25" s="4"/>
      <c r="B25" s="5"/>
      <c r="C25" s="6"/>
      <c r="D25" s="6"/>
      <c r="E25" s="6"/>
      <c r="F25" s="4"/>
      <c r="G25" s="7"/>
      <c r="H25" s="6">
        <f t="shared" ref="H25:H88" si="11">$H$23*$E25</f>
        <v>0</v>
      </c>
      <c r="I25" s="8"/>
      <c r="J25" s="8"/>
      <c r="K25" s="8">
        <f t="shared" ref="K25:K88" si="12">(I25+J25)*$E25</f>
        <v>0</v>
      </c>
      <c r="L25" s="8">
        <f>IF(K25&gt;0,IF(K25*$H$23&lt;2.5,2.5/$H$23,K25),0)</f>
        <v>0</v>
      </c>
      <c r="M25" s="8">
        <f>IFERROR((I25+J25)*INDEX([1]Sheet1!$A$1:$A$13,MATCH((I25+J25),[1]Sheet1!$B$1:$B$13)),0)</f>
        <v>0</v>
      </c>
      <c r="N25" s="6">
        <f t="shared" ref="N25:N88" si="13">$N$23*$E25</f>
        <v>0</v>
      </c>
      <c r="O25" s="8"/>
      <c r="P25" s="8">
        <f t="shared" ref="P25:P88" si="14">IFERROR(($J25/$I25)*O25,0)</f>
        <v>0</v>
      </c>
      <c r="Q25" s="8">
        <f t="shared" ref="Q25:Q88" si="15">(O25+P25)*$E25</f>
        <v>0</v>
      </c>
      <c r="R25" s="8">
        <f t="shared" ref="R25:R216" si="16">IF(Q25&gt;0,IF(Q25*$N$23&lt;2.5,2.5/$N$23,Q25),0)</f>
        <v>0</v>
      </c>
      <c r="S25" s="8">
        <f>IFERROR((O25+P25)*INDEX([1]Sheet1!$A$1:$A$13,MATCH((O25+P25),[1]Sheet1!$B$1:$B$13)),0)</f>
        <v>0</v>
      </c>
      <c r="T25" s="6">
        <f t="shared" ref="T25:T88" si="17">$T$23*$E25</f>
        <v>0</v>
      </c>
      <c r="U25" s="8"/>
      <c r="V25" s="8">
        <f t="shared" ref="V25:V88" si="18">IFERROR(($J25/$I25)*U25,0)</f>
        <v>0</v>
      </c>
      <c r="W25" s="8">
        <f t="shared" ref="W25:W88" si="19">(U25+V25)*$E25</f>
        <v>0</v>
      </c>
      <c r="X25" s="8">
        <f t="shared" ref="X25:X216" si="20">IF(W25&gt;0,IF(W25*$T$23&lt;2.5,2.5/$T$23,W25),0)</f>
        <v>0</v>
      </c>
      <c r="Y25" s="8">
        <f>IFERROR((U25+V25)*INDEX([1]Sheet1!$A$1:$A$13,MATCH((U25+V25),[1]Sheet1!$B$1:$B$13)),0)</f>
        <v>0</v>
      </c>
      <c r="Z25" s="6">
        <f t="shared" ref="Z25:Z88" si="21">$Z$23*$E25</f>
        <v>0</v>
      </c>
      <c r="AA25" s="8"/>
      <c r="AB25" s="8">
        <f t="shared" ref="AB25:AB88" si="22">IFERROR(($J25/$I25)*AA25,0)</f>
        <v>0</v>
      </c>
      <c r="AC25" s="8">
        <f t="shared" ref="AC25:AC88" si="23">(AA25+AB25)*$E25</f>
        <v>0</v>
      </c>
      <c r="AD25" s="8">
        <f t="shared" ref="AD25:AD216" si="24">IF(AC25&gt;0,IF(AC25*$Z$23&lt;2.5,2.5/$Z$23,AC25),0)</f>
        <v>0</v>
      </c>
      <c r="AE25" s="8">
        <f>IFERROR((AA25+AB25)*INDEX([1]Sheet1!$A$1:$A$13,MATCH((AA25+AB25),[1]Sheet1!$B$1:$B$13)),0)</f>
        <v>0</v>
      </c>
      <c r="AF25" s="6">
        <f t="shared" ref="AF25:AF88" si="25">$AF$23*$E25</f>
        <v>0</v>
      </c>
      <c r="AG25" s="8"/>
      <c r="AH25" s="8">
        <f t="shared" ref="AH25:AH88" si="26">IFERROR(($J25/$I25)*AG25,0)</f>
        <v>0</v>
      </c>
      <c r="AI25" s="8">
        <f t="shared" ref="AI25:AI88" si="27">(AG25+AH25)*$E25</f>
        <v>0</v>
      </c>
      <c r="AJ25" s="8">
        <f t="shared" ref="AJ25:AJ216" si="28">IF(AI25&gt;0,IF(AI25*$AF$23&lt;2.5,2.5/$AF$23,AI25),0)</f>
        <v>0</v>
      </c>
      <c r="AK25" s="8">
        <f>IFERROR((AG25+AH25)*INDEX([1]Sheet1!$A$1:$A$13,MATCH((AG25+AH25),[1]Sheet1!$B$1:$B$13)),0)</f>
        <v>0</v>
      </c>
      <c r="AL25" s="6">
        <f t="shared" ref="AL25:AL88" si="29">$AL$23*$E25</f>
        <v>0</v>
      </c>
      <c r="AM25" s="8"/>
      <c r="AN25" s="8">
        <f t="shared" ref="AN25:AN88" si="30">IFERROR(($J25/$I25)*AM25,0)</f>
        <v>0</v>
      </c>
      <c r="AO25" s="8">
        <f t="shared" ref="AO25:AO88" si="31">(AM25+AN25)*$E25</f>
        <v>0</v>
      </c>
      <c r="AP25" s="8">
        <f t="shared" si="9"/>
        <v>0</v>
      </c>
      <c r="AQ25" s="8">
        <f>IFERROR((AM25+AN25)*INDEX([1]Sheet1!$A$1:$A$13,MATCH((AM25+AN25),[1]Sheet1!$B$1:$B$13)),0)</f>
        <v>0</v>
      </c>
      <c r="AR25" s="6">
        <f t="shared" ref="AR25:AR88" si="32">$AR$23*$E25</f>
        <v>0</v>
      </c>
      <c r="AS25" s="8"/>
      <c r="AT25" s="8">
        <f t="shared" ref="AT25:AT88" si="33">IFERROR(($J25/$I25)*AS25,0)</f>
        <v>0</v>
      </c>
      <c r="AU25" s="8">
        <f t="shared" ref="AU25:AU88" si="34">(AS25+AT25)*$E25</f>
        <v>0</v>
      </c>
      <c r="AV25" s="8">
        <f t="shared" si="10"/>
        <v>0</v>
      </c>
      <c r="AW25" s="8">
        <f>IFERROR((AS25+AT25)*INDEX([1]Sheet1!$A$1:$A$13,MATCH((AS25+AT25),[1]Sheet1!$B$1:$B$13)),0)</f>
        <v>0</v>
      </c>
      <c r="BC25" s="1" t="str">
        <f t="shared" ref="BC25:BC88" si="35">IF(E25&gt;0,(IF(I25&gt;0,"","ERROR")),"")</f>
        <v/>
      </c>
    </row>
    <row r="26" spans="1:55" ht="18" customHeight="1" x14ac:dyDescent="0.2">
      <c r="A26" s="4"/>
      <c r="B26" s="5"/>
      <c r="C26" s="6"/>
      <c r="D26" s="6"/>
      <c r="E26" s="6"/>
      <c r="F26" s="4"/>
      <c r="G26" s="7"/>
      <c r="H26" s="6">
        <f t="shared" si="11"/>
        <v>0</v>
      </c>
      <c r="I26" s="8"/>
      <c r="J26" s="8"/>
      <c r="K26" s="8">
        <f t="shared" si="12"/>
        <v>0</v>
      </c>
      <c r="L26" s="8">
        <f>IF(K26&gt;0,IF(K26*$H$23&lt;2.5,2.5/$H$23,K26),0)</f>
        <v>0</v>
      </c>
      <c r="M26" s="8">
        <f>IFERROR((I26+J26)*INDEX([1]Sheet1!$A$1:$A$13,MATCH((I26+J26),[1]Sheet1!$B$1:$B$13)),0)</f>
        <v>0</v>
      </c>
      <c r="N26" s="6">
        <f t="shared" si="13"/>
        <v>0</v>
      </c>
      <c r="O26" s="8"/>
      <c r="P26" s="8">
        <f t="shared" si="14"/>
        <v>0</v>
      </c>
      <c r="Q26" s="8">
        <f t="shared" si="15"/>
        <v>0</v>
      </c>
      <c r="R26" s="8">
        <f t="shared" si="16"/>
        <v>0</v>
      </c>
      <c r="S26" s="8">
        <f>IFERROR((O26+P26)*INDEX([1]Sheet1!$A$1:$A$13,MATCH((O26+P26),[1]Sheet1!$B$1:$B$13)),0)</f>
        <v>0</v>
      </c>
      <c r="T26" s="6">
        <f t="shared" si="17"/>
        <v>0</v>
      </c>
      <c r="U26" s="8"/>
      <c r="V26" s="8">
        <f t="shared" si="18"/>
        <v>0</v>
      </c>
      <c r="W26" s="8">
        <f t="shared" si="19"/>
        <v>0</v>
      </c>
      <c r="X26" s="8">
        <f t="shared" si="20"/>
        <v>0</v>
      </c>
      <c r="Y26" s="8">
        <f>IFERROR((U26+V26)*INDEX([1]Sheet1!$A$1:$A$13,MATCH((U26+V26),[1]Sheet1!$B$1:$B$13)),0)</f>
        <v>0</v>
      </c>
      <c r="Z26" s="6">
        <f t="shared" si="21"/>
        <v>0</v>
      </c>
      <c r="AA26" s="8"/>
      <c r="AB26" s="8">
        <f t="shared" si="22"/>
        <v>0</v>
      </c>
      <c r="AC26" s="8">
        <f t="shared" si="23"/>
        <v>0</v>
      </c>
      <c r="AD26" s="8">
        <f t="shared" si="24"/>
        <v>0</v>
      </c>
      <c r="AE26" s="8">
        <f>IFERROR((AA26+AB26)*INDEX([1]Sheet1!$A$1:$A$13,MATCH((AA26+AB26),[1]Sheet1!$B$1:$B$13)),0)</f>
        <v>0</v>
      </c>
      <c r="AF26" s="6">
        <f t="shared" si="25"/>
        <v>0</v>
      </c>
      <c r="AG26" s="8"/>
      <c r="AH26" s="8">
        <f t="shared" si="26"/>
        <v>0</v>
      </c>
      <c r="AI26" s="8">
        <f t="shared" si="27"/>
        <v>0</v>
      </c>
      <c r="AJ26" s="8">
        <f t="shared" si="28"/>
        <v>0</v>
      </c>
      <c r="AK26" s="8">
        <f>IFERROR((AG26+AH26)*INDEX([1]Sheet1!$A$1:$A$13,MATCH((AG26+AH26),[1]Sheet1!$B$1:$B$13)),0)</f>
        <v>0</v>
      </c>
      <c r="AL26" s="6">
        <f t="shared" si="29"/>
        <v>0</v>
      </c>
      <c r="AM26" s="8"/>
      <c r="AN26" s="8">
        <f t="shared" si="30"/>
        <v>0</v>
      </c>
      <c r="AO26" s="8">
        <f t="shared" si="31"/>
        <v>0</v>
      </c>
      <c r="AP26" s="8">
        <f t="shared" si="9"/>
        <v>0</v>
      </c>
      <c r="AQ26" s="8">
        <f>IFERROR((AM26+AN26)*INDEX([1]Sheet1!$A$1:$A$13,MATCH((AM26+AN26),[1]Sheet1!$B$1:$B$13)),0)</f>
        <v>0</v>
      </c>
      <c r="AR26" s="6">
        <f t="shared" si="32"/>
        <v>0</v>
      </c>
      <c r="AS26" s="8"/>
      <c r="AT26" s="8">
        <f t="shared" si="33"/>
        <v>0</v>
      </c>
      <c r="AU26" s="8">
        <f t="shared" si="34"/>
        <v>0</v>
      </c>
      <c r="AV26" s="8">
        <f t="shared" si="10"/>
        <v>0</v>
      </c>
      <c r="AW26" s="8">
        <f>IFERROR((AS26+AT26)*INDEX([1]Sheet1!$A$1:$A$13,MATCH((AS26+AT26),[1]Sheet1!$B$1:$B$13)),0)</f>
        <v>0</v>
      </c>
      <c r="BC26" s="1" t="str">
        <f t="shared" si="35"/>
        <v/>
      </c>
    </row>
    <row r="27" spans="1:55" ht="18" customHeight="1" x14ac:dyDescent="0.2">
      <c r="A27" s="4"/>
      <c r="B27" s="5"/>
      <c r="C27" s="6"/>
      <c r="D27" s="6"/>
      <c r="E27" s="6"/>
      <c r="F27" s="4"/>
      <c r="G27" s="7"/>
      <c r="H27" s="6">
        <f t="shared" si="11"/>
        <v>0</v>
      </c>
      <c r="I27" s="8"/>
      <c r="J27" s="8"/>
      <c r="K27" s="8">
        <f t="shared" si="12"/>
        <v>0</v>
      </c>
      <c r="L27" s="8">
        <f>IF(K27&gt;0,IF(K27*$H$23&lt;2.5,2.5/$H$23,K27),0)</f>
        <v>0</v>
      </c>
      <c r="M27" s="8">
        <f>IFERROR((I27+J27)*INDEX([1]Sheet1!$A$1:$A$13,MATCH((I27+J27),[1]Sheet1!$B$1:$B$13)),0)</f>
        <v>0</v>
      </c>
      <c r="N27" s="6">
        <f t="shared" si="13"/>
        <v>0</v>
      </c>
      <c r="O27" s="8"/>
      <c r="P27" s="8">
        <f t="shared" si="14"/>
        <v>0</v>
      </c>
      <c r="Q27" s="8">
        <f t="shared" si="15"/>
        <v>0</v>
      </c>
      <c r="R27" s="8">
        <f t="shared" si="16"/>
        <v>0</v>
      </c>
      <c r="S27" s="8">
        <f>IFERROR((O27+P27)*INDEX([1]Sheet1!$A$1:$A$13,MATCH((O27+P27),[1]Sheet1!$B$1:$B$13)),0)</f>
        <v>0</v>
      </c>
      <c r="T27" s="6">
        <f t="shared" si="17"/>
        <v>0</v>
      </c>
      <c r="U27" s="8"/>
      <c r="V27" s="8">
        <f t="shared" si="18"/>
        <v>0</v>
      </c>
      <c r="W27" s="8">
        <f t="shared" si="19"/>
        <v>0</v>
      </c>
      <c r="X27" s="8">
        <f t="shared" si="20"/>
        <v>0</v>
      </c>
      <c r="Y27" s="8">
        <f>IFERROR((U27+V27)*INDEX([1]Sheet1!$A$1:$A$13,MATCH((U27+V27),[1]Sheet1!$B$1:$B$13)),0)</f>
        <v>0</v>
      </c>
      <c r="Z27" s="6">
        <f t="shared" si="21"/>
        <v>0</v>
      </c>
      <c r="AA27" s="8"/>
      <c r="AB27" s="8">
        <f t="shared" si="22"/>
        <v>0</v>
      </c>
      <c r="AC27" s="8">
        <f t="shared" si="23"/>
        <v>0</v>
      </c>
      <c r="AD27" s="8">
        <f t="shared" si="24"/>
        <v>0</v>
      </c>
      <c r="AE27" s="8">
        <f>IFERROR((AA27+AB27)*INDEX([1]Sheet1!$A$1:$A$13,MATCH((AA27+AB27),[1]Sheet1!$B$1:$B$13)),0)</f>
        <v>0</v>
      </c>
      <c r="AF27" s="6">
        <f t="shared" si="25"/>
        <v>0</v>
      </c>
      <c r="AG27" s="8"/>
      <c r="AH27" s="8">
        <f t="shared" si="26"/>
        <v>0</v>
      </c>
      <c r="AI27" s="8">
        <f t="shared" si="27"/>
        <v>0</v>
      </c>
      <c r="AJ27" s="8">
        <f t="shared" si="28"/>
        <v>0</v>
      </c>
      <c r="AK27" s="8">
        <f>IFERROR((AG27+AH27)*INDEX([1]Sheet1!$A$1:$A$13,MATCH((AG27+AH27),[1]Sheet1!$B$1:$B$13)),0)</f>
        <v>0</v>
      </c>
      <c r="AL27" s="6">
        <f t="shared" si="29"/>
        <v>0</v>
      </c>
      <c r="AM27" s="8"/>
      <c r="AN27" s="8">
        <f t="shared" si="30"/>
        <v>0</v>
      </c>
      <c r="AO27" s="8">
        <f t="shared" si="31"/>
        <v>0</v>
      </c>
      <c r="AP27" s="8">
        <f t="shared" si="9"/>
        <v>0</v>
      </c>
      <c r="AQ27" s="8">
        <f>IFERROR((AM27+AN27)*INDEX([1]Sheet1!$A$1:$A$13,MATCH((AM27+AN27),[1]Sheet1!$B$1:$B$13)),0)</f>
        <v>0</v>
      </c>
      <c r="AR27" s="6">
        <f t="shared" si="32"/>
        <v>0</v>
      </c>
      <c r="AS27" s="8"/>
      <c r="AT27" s="8">
        <f t="shared" si="33"/>
        <v>0</v>
      </c>
      <c r="AU27" s="8">
        <f t="shared" si="34"/>
        <v>0</v>
      </c>
      <c r="AV27" s="8">
        <f t="shared" si="10"/>
        <v>0</v>
      </c>
      <c r="AW27" s="8">
        <f>IFERROR((AS27+AT27)*INDEX([1]Sheet1!$A$1:$A$13,MATCH((AS27+AT27),[1]Sheet1!$B$1:$B$13)),0)</f>
        <v>0</v>
      </c>
      <c r="BC27" s="1" t="str">
        <f t="shared" si="35"/>
        <v/>
      </c>
    </row>
    <row r="28" spans="1:55" ht="18" customHeight="1" x14ac:dyDescent="0.2">
      <c r="A28" s="4"/>
      <c r="B28" s="5"/>
      <c r="C28" s="6"/>
      <c r="D28" s="6"/>
      <c r="E28" s="6"/>
      <c r="F28" s="4"/>
      <c r="G28" s="7"/>
      <c r="H28" s="6">
        <f t="shared" si="11"/>
        <v>0</v>
      </c>
      <c r="I28" s="8"/>
      <c r="J28" s="8"/>
      <c r="K28" s="8">
        <f t="shared" si="12"/>
        <v>0</v>
      </c>
      <c r="L28" s="8">
        <f t="shared" ref="L28:L216" si="36">IF(K28&gt;0,IF(K28*$H$23&lt;2.5,2.5/$H$23,K28),0)</f>
        <v>0</v>
      </c>
      <c r="M28" s="8">
        <f>IFERROR((I28+J28)*INDEX([1]Sheet1!$A$1:$A$13,MATCH((I28+J28),[1]Sheet1!$B$1:$B$13)),0)</f>
        <v>0</v>
      </c>
      <c r="N28" s="6">
        <f t="shared" si="13"/>
        <v>0</v>
      </c>
      <c r="O28" s="8"/>
      <c r="P28" s="8">
        <f t="shared" si="14"/>
        <v>0</v>
      </c>
      <c r="Q28" s="8">
        <f t="shared" si="15"/>
        <v>0</v>
      </c>
      <c r="R28" s="8">
        <f t="shared" si="16"/>
        <v>0</v>
      </c>
      <c r="S28" s="8">
        <f>IFERROR((O28+P28)*INDEX([1]Sheet1!$A$1:$A$13,MATCH((O28+P28),[1]Sheet1!$B$1:$B$13)),0)</f>
        <v>0</v>
      </c>
      <c r="T28" s="6">
        <f t="shared" si="17"/>
        <v>0</v>
      </c>
      <c r="U28" s="8"/>
      <c r="V28" s="8">
        <f t="shared" si="18"/>
        <v>0</v>
      </c>
      <c r="W28" s="8">
        <f t="shared" si="19"/>
        <v>0</v>
      </c>
      <c r="X28" s="8">
        <f t="shared" si="20"/>
        <v>0</v>
      </c>
      <c r="Y28" s="8">
        <f>IFERROR((U28+V28)*INDEX([1]Sheet1!$A$1:$A$13,MATCH((U28+V28),[1]Sheet1!$B$1:$B$13)),0)</f>
        <v>0</v>
      </c>
      <c r="Z28" s="6">
        <f t="shared" si="21"/>
        <v>0</v>
      </c>
      <c r="AA28" s="8"/>
      <c r="AB28" s="8">
        <f t="shared" si="22"/>
        <v>0</v>
      </c>
      <c r="AC28" s="8">
        <f t="shared" si="23"/>
        <v>0</v>
      </c>
      <c r="AD28" s="8">
        <f t="shared" si="24"/>
        <v>0</v>
      </c>
      <c r="AE28" s="8">
        <f>IFERROR((AA28+AB28)*INDEX([1]Sheet1!$A$1:$A$13,MATCH((AA28+AB28),[1]Sheet1!$B$1:$B$13)),0)</f>
        <v>0</v>
      </c>
      <c r="AF28" s="6">
        <f t="shared" si="25"/>
        <v>0</v>
      </c>
      <c r="AG28" s="8"/>
      <c r="AH28" s="8">
        <f t="shared" si="26"/>
        <v>0</v>
      </c>
      <c r="AI28" s="8">
        <f t="shared" si="27"/>
        <v>0</v>
      </c>
      <c r="AJ28" s="8">
        <f t="shared" si="28"/>
        <v>0</v>
      </c>
      <c r="AK28" s="8">
        <f>IFERROR((AG28+AH28)*INDEX([1]Sheet1!$A$1:$A$13,MATCH((AG28+AH28),[1]Sheet1!$B$1:$B$13)),0)</f>
        <v>0</v>
      </c>
      <c r="AL28" s="6">
        <f t="shared" si="29"/>
        <v>0</v>
      </c>
      <c r="AM28" s="8"/>
      <c r="AN28" s="8">
        <f t="shared" si="30"/>
        <v>0</v>
      </c>
      <c r="AO28" s="8">
        <f t="shared" si="31"/>
        <v>0</v>
      </c>
      <c r="AP28" s="8">
        <f t="shared" si="9"/>
        <v>0</v>
      </c>
      <c r="AQ28" s="8">
        <f>IFERROR((AM28+AN28)*INDEX([1]Sheet1!$A$1:$A$13,MATCH((AM28+AN28),[1]Sheet1!$B$1:$B$13)),0)</f>
        <v>0</v>
      </c>
      <c r="AR28" s="6">
        <f t="shared" si="32"/>
        <v>0</v>
      </c>
      <c r="AS28" s="8"/>
      <c r="AT28" s="8">
        <f t="shared" si="33"/>
        <v>0</v>
      </c>
      <c r="AU28" s="8">
        <f t="shared" si="34"/>
        <v>0</v>
      </c>
      <c r="AV28" s="8">
        <f t="shared" si="10"/>
        <v>0</v>
      </c>
      <c r="AW28" s="8">
        <f>IFERROR((AS28+AT28)*INDEX([1]Sheet1!$A$1:$A$13,MATCH((AS28+AT28),[1]Sheet1!$B$1:$B$13)),0)</f>
        <v>0</v>
      </c>
      <c r="BC28" s="1" t="str">
        <f t="shared" si="35"/>
        <v/>
      </c>
    </row>
    <row r="29" spans="1:55" ht="18" customHeight="1" x14ac:dyDescent="0.2">
      <c r="A29" s="4"/>
      <c r="B29" s="5"/>
      <c r="C29" s="6"/>
      <c r="D29" s="6"/>
      <c r="E29" s="6"/>
      <c r="F29" s="4"/>
      <c r="G29" s="7"/>
      <c r="H29" s="6">
        <f t="shared" si="11"/>
        <v>0</v>
      </c>
      <c r="I29" s="8"/>
      <c r="J29" s="8"/>
      <c r="K29" s="8">
        <f t="shared" si="12"/>
        <v>0</v>
      </c>
      <c r="L29" s="8">
        <f t="shared" si="36"/>
        <v>0</v>
      </c>
      <c r="M29" s="8">
        <f>IFERROR((I29+J29)*INDEX([1]Sheet1!$A$1:$A$13,MATCH((I29+J29),[1]Sheet1!$B$1:$B$13)),0)</f>
        <v>0</v>
      </c>
      <c r="N29" s="6">
        <f t="shared" si="13"/>
        <v>0</v>
      </c>
      <c r="O29" s="8"/>
      <c r="P29" s="8">
        <f t="shared" si="14"/>
        <v>0</v>
      </c>
      <c r="Q29" s="8">
        <f t="shared" si="15"/>
        <v>0</v>
      </c>
      <c r="R29" s="8">
        <f t="shared" si="16"/>
        <v>0</v>
      </c>
      <c r="S29" s="8">
        <f>IFERROR((O29+P29)*INDEX([1]Sheet1!$A$1:$A$13,MATCH((O29+P29),[1]Sheet1!$B$1:$B$13)),0)</f>
        <v>0</v>
      </c>
      <c r="T29" s="6">
        <f t="shared" si="17"/>
        <v>0</v>
      </c>
      <c r="U29" s="8"/>
      <c r="V29" s="8">
        <f t="shared" si="18"/>
        <v>0</v>
      </c>
      <c r="W29" s="8">
        <f t="shared" si="19"/>
        <v>0</v>
      </c>
      <c r="X29" s="8">
        <f t="shared" si="20"/>
        <v>0</v>
      </c>
      <c r="Y29" s="8">
        <f>IFERROR((U29+V29)*INDEX([1]Sheet1!$A$1:$A$13,MATCH((U29+V29),[1]Sheet1!$B$1:$B$13)),0)</f>
        <v>0</v>
      </c>
      <c r="Z29" s="6">
        <f t="shared" si="21"/>
        <v>0</v>
      </c>
      <c r="AA29" s="8"/>
      <c r="AB29" s="8">
        <f t="shared" si="22"/>
        <v>0</v>
      </c>
      <c r="AC29" s="8">
        <f t="shared" si="23"/>
        <v>0</v>
      </c>
      <c r="AD29" s="8">
        <f t="shared" si="24"/>
        <v>0</v>
      </c>
      <c r="AE29" s="8">
        <f>IFERROR((AA29+AB29)*INDEX([1]Sheet1!$A$1:$A$13,MATCH((AA29+AB29),[1]Sheet1!$B$1:$B$13)),0)</f>
        <v>0</v>
      </c>
      <c r="AF29" s="6">
        <f t="shared" si="25"/>
        <v>0</v>
      </c>
      <c r="AG29" s="8"/>
      <c r="AH29" s="8">
        <f t="shared" si="26"/>
        <v>0</v>
      </c>
      <c r="AI29" s="8">
        <f t="shared" si="27"/>
        <v>0</v>
      </c>
      <c r="AJ29" s="8">
        <f t="shared" si="28"/>
        <v>0</v>
      </c>
      <c r="AK29" s="8">
        <f>IFERROR((AG29+AH29)*INDEX([1]Sheet1!$A$1:$A$13,MATCH((AG29+AH29),[1]Sheet1!$B$1:$B$13)),0)</f>
        <v>0</v>
      </c>
      <c r="AL29" s="6">
        <f t="shared" si="29"/>
        <v>0</v>
      </c>
      <c r="AM29" s="8"/>
      <c r="AN29" s="8">
        <f t="shared" si="30"/>
        <v>0</v>
      </c>
      <c r="AO29" s="8">
        <f t="shared" si="31"/>
        <v>0</v>
      </c>
      <c r="AP29" s="8">
        <f t="shared" si="9"/>
        <v>0</v>
      </c>
      <c r="AQ29" s="8">
        <f>IFERROR((AM29+AN29)*INDEX([1]Sheet1!$A$1:$A$13,MATCH((AM29+AN29),[1]Sheet1!$B$1:$B$13)),0)</f>
        <v>0</v>
      </c>
      <c r="AR29" s="6">
        <f t="shared" si="32"/>
        <v>0</v>
      </c>
      <c r="AS29" s="8"/>
      <c r="AT29" s="8">
        <f t="shared" si="33"/>
        <v>0</v>
      </c>
      <c r="AU29" s="8">
        <f t="shared" si="34"/>
        <v>0</v>
      </c>
      <c r="AV29" s="8">
        <f t="shared" si="10"/>
        <v>0</v>
      </c>
      <c r="AW29" s="8">
        <f>IFERROR((AS29+AT29)*INDEX([1]Sheet1!$A$1:$A$13,MATCH((AS29+AT29),[1]Sheet1!$B$1:$B$13)),0)</f>
        <v>0</v>
      </c>
      <c r="BC29" s="1" t="str">
        <f t="shared" si="35"/>
        <v/>
      </c>
    </row>
    <row r="30" spans="1:55" ht="18" customHeight="1" x14ac:dyDescent="0.2">
      <c r="A30" s="4"/>
      <c r="B30" s="5"/>
      <c r="C30" s="6"/>
      <c r="D30" s="6"/>
      <c r="E30" s="6"/>
      <c r="F30" s="4"/>
      <c r="G30" s="7"/>
      <c r="H30" s="6">
        <f t="shared" si="11"/>
        <v>0</v>
      </c>
      <c r="I30" s="8"/>
      <c r="J30" s="8"/>
      <c r="K30" s="8">
        <f t="shared" si="12"/>
        <v>0</v>
      </c>
      <c r="L30" s="8">
        <f t="shared" si="36"/>
        <v>0</v>
      </c>
      <c r="M30" s="8">
        <f>IFERROR((I30+J30)*INDEX([1]Sheet1!$A$1:$A$13,MATCH((I30+J30),[1]Sheet1!$B$1:$B$13)),0)</f>
        <v>0</v>
      </c>
      <c r="N30" s="6">
        <f t="shared" si="13"/>
        <v>0</v>
      </c>
      <c r="O30" s="8"/>
      <c r="P30" s="8">
        <f t="shared" si="14"/>
        <v>0</v>
      </c>
      <c r="Q30" s="8">
        <f t="shared" si="15"/>
        <v>0</v>
      </c>
      <c r="R30" s="8">
        <f t="shared" si="16"/>
        <v>0</v>
      </c>
      <c r="S30" s="8">
        <f>IFERROR((O30+P30)*INDEX([1]Sheet1!$A$1:$A$13,MATCH((O30+P30),[1]Sheet1!$B$1:$B$13)),0)</f>
        <v>0</v>
      </c>
      <c r="T30" s="6">
        <f t="shared" si="17"/>
        <v>0</v>
      </c>
      <c r="U30" s="8"/>
      <c r="V30" s="8">
        <f t="shared" si="18"/>
        <v>0</v>
      </c>
      <c r="W30" s="8">
        <f t="shared" si="19"/>
        <v>0</v>
      </c>
      <c r="X30" s="8">
        <f t="shared" si="20"/>
        <v>0</v>
      </c>
      <c r="Y30" s="8">
        <f>IFERROR((U30+V30)*INDEX([1]Sheet1!$A$1:$A$13,MATCH((U30+V30),[1]Sheet1!$B$1:$B$13)),0)</f>
        <v>0</v>
      </c>
      <c r="Z30" s="6">
        <f t="shared" si="21"/>
        <v>0</v>
      </c>
      <c r="AA30" s="8"/>
      <c r="AB30" s="8">
        <f t="shared" si="22"/>
        <v>0</v>
      </c>
      <c r="AC30" s="8">
        <f t="shared" si="23"/>
        <v>0</v>
      </c>
      <c r="AD30" s="8">
        <f t="shared" si="24"/>
        <v>0</v>
      </c>
      <c r="AE30" s="8">
        <f>IFERROR((AA30+AB30)*INDEX([1]Sheet1!$A$1:$A$13,MATCH((AA30+AB30),[1]Sheet1!$B$1:$B$13)),0)</f>
        <v>0</v>
      </c>
      <c r="AF30" s="6">
        <f t="shared" si="25"/>
        <v>0</v>
      </c>
      <c r="AG30" s="8"/>
      <c r="AH30" s="8">
        <f t="shared" si="26"/>
        <v>0</v>
      </c>
      <c r="AI30" s="8">
        <f t="shared" si="27"/>
        <v>0</v>
      </c>
      <c r="AJ30" s="8">
        <f t="shared" si="28"/>
        <v>0</v>
      </c>
      <c r="AK30" s="8">
        <f>IFERROR((AG30+AH30)*INDEX([1]Sheet1!$A$1:$A$13,MATCH((AG30+AH30),[1]Sheet1!$B$1:$B$13)),0)</f>
        <v>0</v>
      </c>
      <c r="AL30" s="6">
        <f t="shared" si="29"/>
        <v>0</v>
      </c>
      <c r="AM30" s="8"/>
      <c r="AN30" s="8">
        <f t="shared" si="30"/>
        <v>0</v>
      </c>
      <c r="AO30" s="8">
        <f t="shared" si="31"/>
        <v>0</v>
      </c>
      <c r="AP30" s="8">
        <f t="shared" si="9"/>
        <v>0</v>
      </c>
      <c r="AQ30" s="8">
        <f>IFERROR((AM30+AN30)*INDEX([1]Sheet1!$A$1:$A$13,MATCH((AM30+AN30),[1]Sheet1!$B$1:$B$13)),0)</f>
        <v>0</v>
      </c>
      <c r="AR30" s="6">
        <f t="shared" si="32"/>
        <v>0</v>
      </c>
      <c r="AS30" s="8"/>
      <c r="AT30" s="8">
        <f t="shared" si="33"/>
        <v>0</v>
      </c>
      <c r="AU30" s="8">
        <f t="shared" si="34"/>
        <v>0</v>
      </c>
      <c r="AV30" s="8">
        <f t="shared" si="10"/>
        <v>0</v>
      </c>
      <c r="AW30" s="8">
        <f>IFERROR((AS30+AT30)*INDEX([1]Sheet1!$A$1:$A$13,MATCH((AS30+AT30),[1]Sheet1!$B$1:$B$13)),0)</f>
        <v>0</v>
      </c>
      <c r="BC30" s="1" t="str">
        <f t="shared" si="35"/>
        <v/>
      </c>
    </row>
    <row r="31" spans="1:55" ht="18" customHeight="1" x14ac:dyDescent="0.2">
      <c r="A31" s="4"/>
      <c r="B31" s="5"/>
      <c r="C31" s="6"/>
      <c r="D31" s="6"/>
      <c r="E31" s="6"/>
      <c r="F31" s="4"/>
      <c r="G31" s="7"/>
      <c r="H31" s="6">
        <f t="shared" si="11"/>
        <v>0</v>
      </c>
      <c r="I31" s="8"/>
      <c r="J31" s="8"/>
      <c r="K31" s="8">
        <f t="shared" si="12"/>
        <v>0</v>
      </c>
      <c r="L31" s="8">
        <f t="shared" si="36"/>
        <v>0</v>
      </c>
      <c r="M31" s="8">
        <f>IFERROR((I31+J31)*INDEX([1]Sheet1!$A$1:$A$13,MATCH((I31+J31),[1]Sheet1!$B$1:$B$13)),0)</f>
        <v>0</v>
      </c>
      <c r="N31" s="6">
        <f t="shared" si="13"/>
        <v>0</v>
      </c>
      <c r="O31" s="8"/>
      <c r="P31" s="8">
        <f t="shared" si="14"/>
        <v>0</v>
      </c>
      <c r="Q31" s="8">
        <f t="shared" si="15"/>
        <v>0</v>
      </c>
      <c r="R31" s="8">
        <f t="shared" si="16"/>
        <v>0</v>
      </c>
      <c r="S31" s="8">
        <f>IFERROR((O31+P31)*INDEX([1]Sheet1!$A$1:$A$13,MATCH((O31+P31),[1]Sheet1!$B$1:$B$13)),0)</f>
        <v>0</v>
      </c>
      <c r="T31" s="6">
        <f t="shared" si="17"/>
        <v>0</v>
      </c>
      <c r="U31" s="8"/>
      <c r="V31" s="8">
        <f t="shared" si="18"/>
        <v>0</v>
      </c>
      <c r="W31" s="8">
        <f t="shared" si="19"/>
        <v>0</v>
      </c>
      <c r="X31" s="8">
        <f t="shared" si="20"/>
        <v>0</v>
      </c>
      <c r="Y31" s="8">
        <f>IFERROR((U31+V31)*INDEX([1]Sheet1!$A$1:$A$13,MATCH((U31+V31),[1]Sheet1!$B$1:$B$13)),0)</f>
        <v>0</v>
      </c>
      <c r="Z31" s="6">
        <f t="shared" si="21"/>
        <v>0</v>
      </c>
      <c r="AA31" s="8"/>
      <c r="AB31" s="8">
        <f t="shared" si="22"/>
        <v>0</v>
      </c>
      <c r="AC31" s="8">
        <f t="shared" si="23"/>
        <v>0</v>
      </c>
      <c r="AD31" s="8">
        <f t="shared" si="24"/>
        <v>0</v>
      </c>
      <c r="AE31" s="8">
        <f>IFERROR((AA31+AB31)*INDEX([1]Sheet1!$A$1:$A$13,MATCH((AA31+AB31),[1]Sheet1!$B$1:$B$13)),0)</f>
        <v>0</v>
      </c>
      <c r="AF31" s="6">
        <f t="shared" si="25"/>
        <v>0</v>
      </c>
      <c r="AG31" s="8"/>
      <c r="AH31" s="8">
        <f t="shared" si="26"/>
        <v>0</v>
      </c>
      <c r="AI31" s="8">
        <f t="shared" si="27"/>
        <v>0</v>
      </c>
      <c r="AJ31" s="8">
        <f t="shared" si="28"/>
        <v>0</v>
      </c>
      <c r="AK31" s="8">
        <f>IFERROR((AG31+AH31)*INDEX([1]Sheet1!$A$1:$A$13,MATCH((AG31+AH31),[1]Sheet1!$B$1:$B$13)),0)</f>
        <v>0</v>
      </c>
      <c r="AL31" s="6">
        <f t="shared" si="29"/>
        <v>0</v>
      </c>
      <c r="AM31" s="8"/>
      <c r="AN31" s="8">
        <f t="shared" si="30"/>
        <v>0</v>
      </c>
      <c r="AO31" s="8">
        <f t="shared" si="31"/>
        <v>0</v>
      </c>
      <c r="AP31" s="8">
        <f t="shared" si="9"/>
        <v>0</v>
      </c>
      <c r="AQ31" s="8">
        <f>IFERROR((AM31+AN31)*INDEX([1]Sheet1!$A$1:$A$13,MATCH((AM31+AN31),[1]Sheet1!$B$1:$B$13)),0)</f>
        <v>0</v>
      </c>
      <c r="AR31" s="6">
        <f t="shared" si="32"/>
        <v>0</v>
      </c>
      <c r="AS31" s="8"/>
      <c r="AT31" s="8">
        <f t="shared" si="33"/>
        <v>0</v>
      </c>
      <c r="AU31" s="8">
        <f t="shared" si="34"/>
        <v>0</v>
      </c>
      <c r="AV31" s="8">
        <f t="shared" si="10"/>
        <v>0</v>
      </c>
      <c r="AW31" s="8">
        <f>IFERROR((AS31+AT31)*INDEX([1]Sheet1!$A$1:$A$13,MATCH((AS31+AT31),[1]Sheet1!$B$1:$B$13)),0)</f>
        <v>0</v>
      </c>
      <c r="BC31" s="1" t="str">
        <f t="shared" si="35"/>
        <v/>
      </c>
    </row>
    <row r="32" spans="1:55" ht="18" customHeight="1" x14ac:dyDescent="0.2">
      <c r="A32" s="4"/>
      <c r="B32" s="9"/>
      <c r="C32" s="6"/>
      <c r="D32" s="6"/>
      <c r="E32" s="6"/>
      <c r="F32" s="4"/>
      <c r="G32" s="7"/>
      <c r="H32" s="6">
        <f t="shared" si="11"/>
        <v>0</v>
      </c>
      <c r="I32" s="8"/>
      <c r="J32" s="8"/>
      <c r="K32" s="8">
        <f t="shared" si="12"/>
        <v>0</v>
      </c>
      <c r="L32" s="8">
        <f t="shared" si="36"/>
        <v>0</v>
      </c>
      <c r="M32" s="8">
        <f>IFERROR((I32+J32)*INDEX([1]Sheet1!$A$1:$A$13,MATCH((I32+J32),[1]Sheet1!$B$1:$B$13)),0)</f>
        <v>0</v>
      </c>
      <c r="N32" s="6">
        <f t="shared" si="13"/>
        <v>0</v>
      </c>
      <c r="O32" s="8"/>
      <c r="P32" s="8">
        <f t="shared" si="14"/>
        <v>0</v>
      </c>
      <c r="Q32" s="8">
        <f t="shared" si="15"/>
        <v>0</v>
      </c>
      <c r="R32" s="8">
        <f t="shared" si="16"/>
        <v>0</v>
      </c>
      <c r="S32" s="8">
        <f>IFERROR((O32+P32)*INDEX([1]Sheet1!$A$1:$A$13,MATCH((O32+P32),[1]Sheet1!$B$1:$B$13)),0)</f>
        <v>0</v>
      </c>
      <c r="T32" s="6">
        <f t="shared" si="17"/>
        <v>0</v>
      </c>
      <c r="U32" s="8"/>
      <c r="V32" s="8">
        <f t="shared" si="18"/>
        <v>0</v>
      </c>
      <c r="W32" s="8">
        <f t="shared" si="19"/>
        <v>0</v>
      </c>
      <c r="X32" s="8">
        <f t="shared" si="20"/>
        <v>0</v>
      </c>
      <c r="Y32" s="8">
        <f>IFERROR((U32+V32)*INDEX([1]Sheet1!$A$1:$A$13,MATCH((U32+V32),[1]Sheet1!$B$1:$B$13)),0)</f>
        <v>0</v>
      </c>
      <c r="Z32" s="6">
        <f t="shared" si="21"/>
        <v>0</v>
      </c>
      <c r="AA32" s="8"/>
      <c r="AB32" s="8">
        <f t="shared" si="22"/>
        <v>0</v>
      </c>
      <c r="AC32" s="8">
        <f t="shared" si="23"/>
        <v>0</v>
      </c>
      <c r="AD32" s="8">
        <f t="shared" si="24"/>
        <v>0</v>
      </c>
      <c r="AE32" s="8">
        <f>IFERROR((AA32+AB32)*INDEX([1]Sheet1!$A$1:$A$13,MATCH((AA32+AB32),[1]Sheet1!$B$1:$B$13)),0)</f>
        <v>0</v>
      </c>
      <c r="AF32" s="6">
        <f t="shared" si="25"/>
        <v>0</v>
      </c>
      <c r="AG32" s="8"/>
      <c r="AH32" s="8">
        <f t="shared" si="26"/>
        <v>0</v>
      </c>
      <c r="AI32" s="8">
        <f t="shared" si="27"/>
        <v>0</v>
      </c>
      <c r="AJ32" s="8">
        <f t="shared" si="28"/>
        <v>0</v>
      </c>
      <c r="AK32" s="8">
        <f>IFERROR((AG32+AH32)*INDEX([1]Sheet1!$A$1:$A$13,MATCH((AG32+AH32),[1]Sheet1!$B$1:$B$13)),0)</f>
        <v>0</v>
      </c>
      <c r="AL32" s="6">
        <f t="shared" si="29"/>
        <v>0</v>
      </c>
      <c r="AM32" s="8"/>
      <c r="AN32" s="8">
        <f t="shared" si="30"/>
        <v>0</v>
      </c>
      <c r="AO32" s="8">
        <f t="shared" si="31"/>
        <v>0</v>
      </c>
      <c r="AP32" s="8">
        <f t="shared" si="9"/>
        <v>0</v>
      </c>
      <c r="AQ32" s="8">
        <f>IFERROR((AM32+AN32)*INDEX([1]Sheet1!$A$1:$A$13,MATCH((AM32+AN32),[1]Sheet1!$B$1:$B$13)),0)</f>
        <v>0</v>
      </c>
      <c r="AR32" s="6">
        <f t="shared" si="32"/>
        <v>0</v>
      </c>
      <c r="AS32" s="8"/>
      <c r="AT32" s="8">
        <f t="shared" si="33"/>
        <v>0</v>
      </c>
      <c r="AU32" s="8">
        <f t="shared" si="34"/>
        <v>0</v>
      </c>
      <c r="AV32" s="8">
        <f t="shared" si="10"/>
        <v>0</v>
      </c>
      <c r="AW32" s="8">
        <f>IFERROR((AS32+AT32)*INDEX([1]Sheet1!$A$1:$A$13,MATCH((AS32+AT32),[1]Sheet1!$B$1:$B$13)),0)</f>
        <v>0</v>
      </c>
      <c r="BC32" s="1" t="str">
        <f t="shared" si="35"/>
        <v/>
      </c>
    </row>
    <row r="33" spans="1:55" ht="18" customHeight="1" x14ac:dyDescent="0.2">
      <c r="A33" s="4"/>
      <c r="B33" s="9"/>
      <c r="C33" s="6"/>
      <c r="D33" s="6"/>
      <c r="E33" s="6"/>
      <c r="F33" s="4"/>
      <c r="G33" s="7"/>
      <c r="H33" s="6">
        <f t="shared" si="11"/>
        <v>0</v>
      </c>
      <c r="I33" s="8"/>
      <c r="J33" s="8"/>
      <c r="K33" s="8">
        <f t="shared" si="12"/>
        <v>0</v>
      </c>
      <c r="L33" s="8">
        <f t="shared" si="36"/>
        <v>0</v>
      </c>
      <c r="M33" s="8">
        <f>IFERROR((I33+J33)*INDEX([1]Sheet1!$A$1:$A$13,MATCH((I33+J33),[1]Sheet1!$B$1:$B$13)),0)</f>
        <v>0</v>
      </c>
      <c r="N33" s="6">
        <f t="shared" si="13"/>
        <v>0</v>
      </c>
      <c r="O33" s="8"/>
      <c r="P33" s="8">
        <f t="shared" si="14"/>
        <v>0</v>
      </c>
      <c r="Q33" s="8">
        <f t="shared" si="15"/>
        <v>0</v>
      </c>
      <c r="R33" s="8">
        <f t="shared" si="16"/>
        <v>0</v>
      </c>
      <c r="S33" s="8">
        <f>IFERROR((O33+P33)*INDEX([1]Sheet1!$A$1:$A$13,MATCH((O33+P33),[1]Sheet1!$B$1:$B$13)),0)</f>
        <v>0</v>
      </c>
      <c r="T33" s="6">
        <f t="shared" si="17"/>
        <v>0</v>
      </c>
      <c r="U33" s="8"/>
      <c r="V33" s="8">
        <f t="shared" si="18"/>
        <v>0</v>
      </c>
      <c r="W33" s="8">
        <f t="shared" si="19"/>
        <v>0</v>
      </c>
      <c r="X33" s="8">
        <f t="shared" si="20"/>
        <v>0</v>
      </c>
      <c r="Y33" s="8">
        <f>IFERROR((U33+V33)*INDEX([1]Sheet1!$A$1:$A$13,MATCH((U33+V33),[1]Sheet1!$B$1:$B$13)),0)</f>
        <v>0</v>
      </c>
      <c r="Z33" s="6">
        <f t="shared" si="21"/>
        <v>0</v>
      </c>
      <c r="AA33" s="8"/>
      <c r="AB33" s="8">
        <f t="shared" si="22"/>
        <v>0</v>
      </c>
      <c r="AC33" s="8">
        <f t="shared" si="23"/>
        <v>0</v>
      </c>
      <c r="AD33" s="8">
        <f t="shared" si="24"/>
        <v>0</v>
      </c>
      <c r="AE33" s="8">
        <f>IFERROR((AA33+AB33)*INDEX([1]Sheet1!$A$1:$A$13,MATCH((AA33+AB33),[1]Sheet1!$B$1:$B$13)),0)</f>
        <v>0</v>
      </c>
      <c r="AF33" s="6">
        <f t="shared" si="25"/>
        <v>0</v>
      </c>
      <c r="AG33" s="8"/>
      <c r="AH33" s="8">
        <f t="shared" si="26"/>
        <v>0</v>
      </c>
      <c r="AI33" s="8">
        <f t="shared" si="27"/>
        <v>0</v>
      </c>
      <c r="AJ33" s="8">
        <f t="shared" si="28"/>
        <v>0</v>
      </c>
      <c r="AK33" s="8">
        <f>IFERROR((AG33+AH33)*INDEX([1]Sheet1!$A$1:$A$13,MATCH((AG33+AH33),[1]Sheet1!$B$1:$B$13)),0)</f>
        <v>0</v>
      </c>
      <c r="AL33" s="6">
        <f t="shared" si="29"/>
        <v>0</v>
      </c>
      <c r="AM33" s="8"/>
      <c r="AN33" s="8">
        <f t="shared" si="30"/>
        <v>0</v>
      </c>
      <c r="AO33" s="8">
        <f t="shared" si="31"/>
        <v>0</v>
      </c>
      <c r="AP33" s="8">
        <f t="shared" si="9"/>
        <v>0</v>
      </c>
      <c r="AQ33" s="8">
        <f>IFERROR((AM33+AN33)*INDEX([1]Sheet1!$A$1:$A$13,MATCH((AM33+AN33),[1]Sheet1!$B$1:$B$13)),0)</f>
        <v>0</v>
      </c>
      <c r="AR33" s="6">
        <f t="shared" si="32"/>
        <v>0</v>
      </c>
      <c r="AS33" s="8"/>
      <c r="AT33" s="8">
        <f t="shared" si="33"/>
        <v>0</v>
      </c>
      <c r="AU33" s="8">
        <f t="shared" si="34"/>
        <v>0</v>
      </c>
      <c r="AV33" s="8">
        <f t="shared" si="10"/>
        <v>0</v>
      </c>
      <c r="AW33" s="8">
        <f>IFERROR((AS33+AT33)*INDEX([1]Sheet1!$A$1:$A$13,MATCH((AS33+AT33),[1]Sheet1!$B$1:$B$13)),0)</f>
        <v>0</v>
      </c>
      <c r="BC33" s="1" t="str">
        <f t="shared" si="35"/>
        <v/>
      </c>
    </row>
    <row r="34" spans="1:55" ht="18" customHeight="1" x14ac:dyDescent="0.2">
      <c r="A34" s="4"/>
      <c r="B34" s="5"/>
      <c r="C34" s="6"/>
      <c r="D34" s="6"/>
      <c r="E34" s="6"/>
      <c r="F34" s="4"/>
      <c r="G34" s="7"/>
      <c r="H34" s="6">
        <f t="shared" si="11"/>
        <v>0</v>
      </c>
      <c r="I34" s="8"/>
      <c r="J34" s="8"/>
      <c r="K34" s="8">
        <f t="shared" si="12"/>
        <v>0</v>
      </c>
      <c r="L34" s="8">
        <f t="shared" si="36"/>
        <v>0</v>
      </c>
      <c r="M34" s="8">
        <f>IFERROR((I34+J34)*INDEX([1]Sheet1!$A$1:$A$13,MATCH((I34+J34),[1]Sheet1!$B$1:$B$13)),0)</f>
        <v>0</v>
      </c>
      <c r="N34" s="6">
        <f t="shared" si="13"/>
        <v>0</v>
      </c>
      <c r="O34" s="8"/>
      <c r="P34" s="8">
        <f t="shared" si="14"/>
        <v>0</v>
      </c>
      <c r="Q34" s="8">
        <f t="shared" si="15"/>
        <v>0</v>
      </c>
      <c r="R34" s="8">
        <f t="shared" si="16"/>
        <v>0</v>
      </c>
      <c r="S34" s="8">
        <f>IFERROR((O34+P34)*INDEX([1]Sheet1!$A$1:$A$13,MATCH((O34+P34),[1]Sheet1!$B$1:$B$13)),0)</f>
        <v>0</v>
      </c>
      <c r="T34" s="6">
        <f t="shared" si="17"/>
        <v>0</v>
      </c>
      <c r="U34" s="8"/>
      <c r="V34" s="8">
        <f t="shared" si="18"/>
        <v>0</v>
      </c>
      <c r="W34" s="8">
        <f t="shared" si="19"/>
        <v>0</v>
      </c>
      <c r="X34" s="8">
        <f t="shared" si="20"/>
        <v>0</v>
      </c>
      <c r="Y34" s="8">
        <f>IFERROR((U34+V34)*INDEX([1]Sheet1!$A$1:$A$13,MATCH((U34+V34),[1]Sheet1!$B$1:$B$13)),0)</f>
        <v>0</v>
      </c>
      <c r="Z34" s="6">
        <f t="shared" si="21"/>
        <v>0</v>
      </c>
      <c r="AA34" s="8"/>
      <c r="AB34" s="8">
        <f t="shared" si="22"/>
        <v>0</v>
      </c>
      <c r="AC34" s="8">
        <f t="shared" si="23"/>
        <v>0</v>
      </c>
      <c r="AD34" s="8">
        <f t="shared" si="24"/>
        <v>0</v>
      </c>
      <c r="AE34" s="8">
        <f>IFERROR((AA34+AB34)*INDEX([1]Sheet1!$A$1:$A$13,MATCH((AA34+AB34),[1]Sheet1!$B$1:$B$13)),0)</f>
        <v>0</v>
      </c>
      <c r="AF34" s="6">
        <f t="shared" si="25"/>
        <v>0</v>
      </c>
      <c r="AG34" s="8"/>
      <c r="AH34" s="8">
        <f t="shared" si="26"/>
        <v>0</v>
      </c>
      <c r="AI34" s="8">
        <f t="shared" si="27"/>
        <v>0</v>
      </c>
      <c r="AJ34" s="8">
        <f t="shared" si="28"/>
        <v>0</v>
      </c>
      <c r="AK34" s="8">
        <f>IFERROR((AG34+AH34)*INDEX([1]Sheet1!$A$1:$A$13,MATCH((AG34+AH34),[1]Sheet1!$B$1:$B$13)),0)</f>
        <v>0</v>
      </c>
      <c r="AL34" s="6">
        <f t="shared" si="29"/>
        <v>0</v>
      </c>
      <c r="AM34" s="8"/>
      <c r="AN34" s="8">
        <f t="shared" si="30"/>
        <v>0</v>
      </c>
      <c r="AO34" s="8">
        <f t="shared" si="31"/>
        <v>0</v>
      </c>
      <c r="AP34" s="8">
        <f t="shared" si="9"/>
        <v>0</v>
      </c>
      <c r="AQ34" s="8">
        <f>IFERROR((AM34+AN34)*INDEX([1]Sheet1!$A$1:$A$13,MATCH((AM34+AN34),[1]Sheet1!$B$1:$B$13)),0)</f>
        <v>0</v>
      </c>
      <c r="AR34" s="6">
        <f t="shared" si="32"/>
        <v>0</v>
      </c>
      <c r="AS34" s="8"/>
      <c r="AT34" s="8">
        <f t="shared" si="33"/>
        <v>0</v>
      </c>
      <c r="AU34" s="8">
        <f t="shared" si="34"/>
        <v>0</v>
      </c>
      <c r="AV34" s="8">
        <f t="shared" si="10"/>
        <v>0</v>
      </c>
      <c r="AW34" s="8">
        <f>IFERROR((AS34+AT34)*INDEX([1]Sheet1!$A$1:$A$13,MATCH((AS34+AT34),[1]Sheet1!$B$1:$B$13)),0)</f>
        <v>0</v>
      </c>
      <c r="BC34" s="1" t="str">
        <f t="shared" si="35"/>
        <v/>
      </c>
    </row>
    <row r="35" spans="1:55" ht="18" customHeight="1" x14ac:dyDescent="0.2">
      <c r="A35" s="4"/>
      <c r="B35" s="5"/>
      <c r="C35" s="6"/>
      <c r="D35" s="6"/>
      <c r="E35" s="6"/>
      <c r="F35" s="4"/>
      <c r="G35" s="7"/>
      <c r="H35" s="6">
        <f t="shared" si="11"/>
        <v>0</v>
      </c>
      <c r="I35" s="8"/>
      <c r="J35" s="8"/>
      <c r="K35" s="8">
        <f t="shared" si="12"/>
        <v>0</v>
      </c>
      <c r="L35" s="8">
        <f t="shared" si="36"/>
        <v>0</v>
      </c>
      <c r="M35" s="8">
        <f>IFERROR((I35+J35)*INDEX([1]Sheet1!$A$1:$A$13,MATCH((I35+J35),[1]Sheet1!$B$1:$B$13)),0)</f>
        <v>0</v>
      </c>
      <c r="N35" s="6">
        <f t="shared" si="13"/>
        <v>0</v>
      </c>
      <c r="O35" s="8"/>
      <c r="P35" s="8">
        <f t="shared" si="14"/>
        <v>0</v>
      </c>
      <c r="Q35" s="8">
        <f t="shared" si="15"/>
        <v>0</v>
      </c>
      <c r="R35" s="8">
        <f t="shared" si="16"/>
        <v>0</v>
      </c>
      <c r="S35" s="8">
        <f>IFERROR((O35+P35)*INDEX([1]Sheet1!$A$1:$A$13,MATCH((O35+P35),[1]Sheet1!$B$1:$B$13)),0)</f>
        <v>0</v>
      </c>
      <c r="T35" s="6">
        <f t="shared" si="17"/>
        <v>0</v>
      </c>
      <c r="U35" s="8"/>
      <c r="V35" s="8">
        <f t="shared" si="18"/>
        <v>0</v>
      </c>
      <c r="W35" s="8">
        <f t="shared" si="19"/>
        <v>0</v>
      </c>
      <c r="X35" s="8">
        <f t="shared" si="20"/>
        <v>0</v>
      </c>
      <c r="Y35" s="8">
        <f>IFERROR((U35+V35)*INDEX([1]Sheet1!$A$1:$A$13,MATCH((U35+V35),[1]Sheet1!$B$1:$B$13)),0)</f>
        <v>0</v>
      </c>
      <c r="Z35" s="6">
        <f t="shared" si="21"/>
        <v>0</v>
      </c>
      <c r="AA35" s="8"/>
      <c r="AB35" s="8">
        <f t="shared" si="22"/>
        <v>0</v>
      </c>
      <c r="AC35" s="8">
        <f t="shared" si="23"/>
        <v>0</v>
      </c>
      <c r="AD35" s="8">
        <f t="shared" si="24"/>
        <v>0</v>
      </c>
      <c r="AE35" s="8">
        <f>IFERROR((AA35+AB35)*INDEX([1]Sheet1!$A$1:$A$13,MATCH((AA35+AB35),[1]Sheet1!$B$1:$B$13)),0)</f>
        <v>0</v>
      </c>
      <c r="AF35" s="6">
        <f t="shared" si="25"/>
        <v>0</v>
      </c>
      <c r="AG35" s="8"/>
      <c r="AH35" s="8">
        <f t="shared" si="26"/>
        <v>0</v>
      </c>
      <c r="AI35" s="8">
        <f t="shared" si="27"/>
        <v>0</v>
      </c>
      <c r="AJ35" s="8">
        <f t="shared" si="28"/>
        <v>0</v>
      </c>
      <c r="AK35" s="8">
        <f>IFERROR((AG35+AH35)*INDEX([1]Sheet1!$A$1:$A$13,MATCH((AG35+AH35),[1]Sheet1!$B$1:$B$13)),0)</f>
        <v>0</v>
      </c>
      <c r="AL35" s="6">
        <f t="shared" si="29"/>
        <v>0</v>
      </c>
      <c r="AM35" s="8"/>
      <c r="AN35" s="8">
        <f t="shared" si="30"/>
        <v>0</v>
      </c>
      <c r="AO35" s="8">
        <f t="shared" si="31"/>
        <v>0</v>
      </c>
      <c r="AP35" s="8">
        <f t="shared" si="9"/>
        <v>0</v>
      </c>
      <c r="AQ35" s="8">
        <f>IFERROR((AM35+AN35)*INDEX([1]Sheet1!$A$1:$A$13,MATCH((AM35+AN35),[1]Sheet1!$B$1:$B$13)),0)</f>
        <v>0</v>
      </c>
      <c r="AR35" s="6">
        <f t="shared" si="32"/>
        <v>0</v>
      </c>
      <c r="AS35" s="8"/>
      <c r="AT35" s="8">
        <f t="shared" si="33"/>
        <v>0</v>
      </c>
      <c r="AU35" s="8">
        <f t="shared" si="34"/>
        <v>0</v>
      </c>
      <c r="AV35" s="8">
        <f t="shared" si="10"/>
        <v>0</v>
      </c>
      <c r="AW35" s="8">
        <f>IFERROR((AS35+AT35)*INDEX([1]Sheet1!$A$1:$A$13,MATCH((AS35+AT35),[1]Sheet1!$B$1:$B$13)),0)</f>
        <v>0</v>
      </c>
      <c r="BC35" s="1" t="str">
        <f t="shared" si="35"/>
        <v/>
      </c>
    </row>
    <row r="36" spans="1:55" ht="18" customHeight="1" x14ac:dyDescent="0.2">
      <c r="A36" s="4"/>
      <c r="B36" s="5"/>
      <c r="C36" s="6"/>
      <c r="D36" s="6"/>
      <c r="E36" s="6"/>
      <c r="F36" s="4"/>
      <c r="G36" s="7"/>
      <c r="H36" s="6">
        <f t="shared" si="11"/>
        <v>0</v>
      </c>
      <c r="I36" s="8"/>
      <c r="J36" s="8"/>
      <c r="K36" s="8">
        <f t="shared" si="12"/>
        <v>0</v>
      </c>
      <c r="L36" s="8">
        <f t="shared" si="36"/>
        <v>0</v>
      </c>
      <c r="M36" s="8">
        <f>IFERROR((I36+J36)*INDEX([1]Sheet1!$A$1:$A$13,MATCH((I36+J36),[1]Sheet1!$B$1:$B$13)),0)</f>
        <v>0</v>
      </c>
      <c r="N36" s="6">
        <f t="shared" si="13"/>
        <v>0</v>
      </c>
      <c r="O36" s="8"/>
      <c r="P36" s="8">
        <f t="shared" si="14"/>
        <v>0</v>
      </c>
      <c r="Q36" s="8">
        <f t="shared" si="15"/>
        <v>0</v>
      </c>
      <c r="R36" s="8">
        <f t="shared" si="16"/>
        <v>0</v>
      </c>
      <c r="S36" s="8">
        <f>IFERROR((O36+P36)*INDEX([1]Sheet1!$A$1:$A$13,MATCH((O36+P36),[1]Sheet1!$B$1:$B$13)),0)</f>
        <v>0</v>
      </c>
      <c r="T36" s="6">
        <f t="shared" si="17"/>
        <v>0</v>
      </c>
      <c r="U36" s="8"/>
      <c r="V36" s="8">
        <f t="shared" si="18"/>
        <v>0</v>
      </c>
      <c r="W36" s="8">
        <f t="shared" si="19"/>
        <v>0</v>
      </c>
      <c r="X36" s="8">
        <f t="shared" si="20"/>
        <v>0</v>
      </c>
      <c r="Y36" s="8">
        <f>IFERROR((U36+V36)*INDEX([1]Sheet1!$A$1:$A$13,MATCH((U36+V36),[1]Sheet1!$B$1:$B$13)),0)</f>
        <v>0</v>
      </c>
      <c r="Z36" s="6">
        <f t="shared" si="21"/>
        <v>0</v>
      </c>
      <c r="AA36" s="8"/>
      <c r="AB36" s="8">
        <f t="shared" si="22"/>
        <v>0</v>
      </c>
      <c r="AC36" s="8">
        <f t="shared" si="23"/>
        <v>0</v>
      </c>
      <c r="AD36" s="8">
        <f t="shared" si="24"/>
        <v>0</v>
      </c>
      <c r="AE36" s="8">
        <f>IFERROR((AA36+AB36)*INDEX([1]Sheet1!$A$1:$A$13,MATCH((AA36+AB36),[1]Sheet1!$B$1:$B$13)),0)</f>
        <v>0</v>
      </c>
      <c r="AF36" s="6">
        <f t="shared" si="25"/>
        <v>0</v>
      </c>
      <c r="AG36" s="8"/>
      <c r="AH36" s="8">
        <f t="shared" si="26"/>
        <v>0</v>
      </c>
      <c r="AI36" s="8">
        <f t="shared" si="27"/>
        <v>0</v>
      </c>
      <c r="AJ36" s="8">
        <f t="shared" si="28"/>
        <v>0</v>
      </c>
      <c r="AK36" s="8">
        <f>IFERROR((AG36+AH36)*INDEX([1]Sheet1!$A$1:$A$13,MATCH((AG36+AH36),[1]Sheet1!$B$1:$B$13)),0)</f>
        <v>0</v>
      </c>
      <c r="AL36" s="6">
        <f t="shared" si="29"/>
        <v>0</v>
      </c>
      <c r="AM36" s="8"/>
      <c r="AN36" s="8">
        <f t="shared" si="30"/>
        <v>0</v>
      </c>
      <c r="AO36" s="8">
        <f t="shared" si="31"/>
        <v>0</v>
      </c>
      <c r="AP36" s="8">
        <f t="shared" si="9"/>
        <v>0</v>
      </c>
      <c r="AQ36" s="8">
        <f>IFERROR((AM36+AN36)*INDEX([1]Sheet1!$A$1:$A$13,MATCH((AM36+AN36),[1]Sheet1!$B$1:$B$13)),0)</f>
        <v>0</v>
      </c>
      <c r="AR36" s="6">
        <f t="shared" si="32"/>
        <v>0</v>
      </c>
      <c r="AS36" s="8"/>
      <c r="AT36" s="8">
        <f t="shared" si="33"/>
        <v>0</v>
      </c>
      <c r="AU36" s="8">
        <f t="shared" si="34"/>
        <v>0</v>
      </c>
      <c r="AV36" s="8">
        <f t="shared" si="10"/>
        <v>0</v>
      </c>
      <c r="AW36" s="8">
        <f>IFERROR((AS36+AT36)*INDEX([1]Sheet1!$A$1:$A$13,MATCH((AS36+AT36),[1]Sheet1!$B$1:$B$13)),0)</f>
        <v>0</v>
      </c>
      <c r="BC36" s="1" t="str">
        <f t="shared" si="35"/>
        <v/>
      </c>
    </row>
    <row r="37" spans="1:55" ht="18" customHeight="1" x14ac:dyDescent="0.2">
      <c r="A37" s="4"/>
      <c r="B37" s="5"/>
      <c r="C37" s="6"/>
      <c r="D37" s="6"/>
      <c r="E37" s="6"/>
      <c r="F37" s="4"/>
      <c r="G37" s="7"/>
      <c r="H37" s="6">
        <f t="shared" si="11"/>
        <v>0</v>
      </c>
      <c r="I37" s="8"/>
      <c r="J37" s="8"/>
      <c r="K37" s="8">
        <f t="shared" si="12"/>
        <v>0</v>
      </c>
      <c r="L37" s="8">
        <f t="shared" si="36"/>
        <v>0</v>
      </c>
      <c r="M37" s="8">
        <f>IFERROR((I37+J37)*INDEX([1]Sheet1!$A$1:$A$13,MATCH((I37+J37),[1]Sheet1!$B$1:$B$13)),0)</f>
        <v>0</v>
      </c>
      <c r="N37" s="6">
        <f t="shared" si="13"/>
        <v>0</v>
      </c>
      <c r="O37" s="8"/>
      <c r="P37" s="8">
        <f t="shared" si="14"/>
        <v>0</v>
      </c>
      <c r="Q37" s="8">
        <f t="shared" si="15"/>
        <v>0</v>
      </c>
      <c r="R37" s="8">
        <f t="shared" si="16"/>
        <v>0</v>
      </c>
      <c r="S37" s="8">
        <f>IFERROR((O37+P37)*INDEX([1]Sheet1!$A$1:$A$13,MATCH((O37+P37),[1]Sheet1!$B$1:$B$13)),0)</f>
        <v>0</v>
      </c>
      <c r="T37" s="6">
        <f t="shared" si="17"/>
        <v>0</v>
      </c>
      <c r="U37" s="8"/>
      <c r="V37" s="8">
        <f t="shared" si="18"/>
        <v>0</v>
      </c>
      <c r="W37" s="8">
        <f t="shared" si="19"/>
        <v>0</v>
      </c>
      <c r="X37" s="8">
        <f t="shared" si="20"/>
        <v>0</v>
      </c>
      <c r="Y37" s="8">
        <f>IFERROR((U37+V37)*INDEX([1]Sheet1!$A$1:$A$13,MATCH((U37+V37),[1]Sheet1!$B$1:$B$13)),0)</f>
        <v>0</v>
      </c>
      <c r="Z37" s="6">
        <f t="shared" si="21"/>
        <v>0</v>
      </c>
      <c r="AA37" s="8"/>
      <c r="AB37" s="8">
        <f t="shared" si="22"/>
        <v>0</v>
      </c>
      <c r="AC37" s="8">
        <f t="shared" si="23"/>
        <v>0</v>
      </c>
      <c r="AD37" s="8">
        <f t="shared" si="24"/>
        <v>0</v>
      </c>
      <c r="AE37" s="8">
        <f>IFERROR((AA37+AB37)*INDEX([1]Sheet1!$A$1:$A$13,MATCH((AA37+AB37),[1]Sheet1!$B$1:$B$13)),0)</f>
        <v>0</v>
      </c>
      <c r="AF37" s="6">
        <f t="shared" si="25"/>
        <v>0</v>
      </c>
      <c r="AG37" s="8"/>
      <c r="AH37" s="8">
        <f t="shared" si="26"/>
        <v>0</v>
      </c>
      <c r="AI37" s="8">
        <f t="shared" si="27"/>
        <v>0</v>
      </c>
      <c r="AJ37" s="8">
        <f t="shared" si="28"/>
        <v>0</v>
      </c>
      <c r="AK37" s="8">
        <f>IFERROR((AG37+AH37)*INDEX([1]Sheet1!$A$1:$A$13,MATCH((AG37+AH37),[1]Sheet1!$B$1:$B$13)),0)</f>
        <v>0</v>
      </c>
      <c r="AL37" s="6">
        <f t="shared" si="29"/>
        <v>0</v>
      </c>
      <c r="AM37" s="8"/>
      <c r="AN37" s="8">
        <f t="shared" si="30"/>
        <v>0</v>
      </c>
      <c r="AO37" s="8">
        <f t="shared" si="31"/>
        <v>0</v>
      </c>
      <c r="AP37" s="8">
        <f t="shared" si="9"/>
        <v>0</v>
      </c>
      <c r="AQ37" s="8">
        <f>IFERROR((AM37+AN37)*INDEX([1]Sheet1!$A$1:$A$13,MATCH((AM37+AN37),[1]Sheet1!$B$1:$B$13)),0)</f>
        <v>0</v>
      </c>
      <c r="AR37" s="6">
        <f t="shared" si="32"/>
        <v>0</v>
      </c>
      <c r="AS37" s="8"/>
      <c r="AT37" s="8">
        <f t="shared" si="33"/>
        <v>0</v>
      </c>
      <c r="AU37" s="8">
        <f t="shared" si="34"/>
        <v>0</v>
      </c>
      <c r="AV37" s="8">
        <f t="shared" si="10"/>
        <v>0</v>
      </c>
      <c r="AW37" s="8">
        <f>IFERROR((AS37+AT37)*INDEX([1]Sheet1!$A$1:$A$13,MATCH((AS37+AT37),[1]Sheet1!$B$1:$B$13)),0)</f>
        <v>0</v>
      </c>
      <c r="BC37" s="1" t="str">
        <f t="shared" si="35"/>
        <v/>
      </c>
    </row>
    <row r="38" spans="1:55" ht="18" customHeight="1" x14ac:dyDescent="0.2">
      <c r="A38" s="4"/>
      <c r="B38" s="5"/>
      <c r="C38" s="6"/>
      <c r="D38" s="6"/>
      <c r="E38" s="6"/>
      <c r="F38" s="4"/>
      <c r="G38" s="7"/>
      <c r="H38" s="6">
        <f t="shared" si="11"/>
        <v>0</v>
      </c>
      <c r="I38" s="8"/>
      <c r="J38" s="8"/>
      <c r="K38" s="8">
        <f t="shared" si="12"/>
        <v>0</v>
      </c>
      <c r="L38" s="8">
        <f t="shared" si="36"/>
        <v>0</v>
      </c>
      <c r="M38" s="8">
        <f>IFERROR((I38+J38)*INDEX([1]Sheet1!$A$1:$A$13,MATCH((I38+J38),[1]Sheet1!$B$1:$B$13)),0)</f>
        <v>0</v>
      </c>
      <c r="N38" s="6">
        <f t="shared" si="13"/>
        <v>0</v>
      </c>
      <c r="O38" s="8"/>
      <c r="P38" s="8">
        <f t="shared" si="14"/>
        <v>0</v>
      </c>
      <c r="Q38" s="8">
        <f t="shared" si="15"/>
        <v>0</v>
      </c>
      <c r="R38" s="8">
        <f t="shared" si="16"/>
        <v>0</v>
      </c>
      <c r="S38" s="8">
        <f>IFERROR((O38+P38)*INDEX([1]Sheet1!$A$1:$A$13,MATCH((O38+P38),[1]Sheet1!$B$1:$B$13)),0)</f>
        <v>0</v>
      </c>
      <c r="T38" s="6">
        <f t="shared" si="17"/>
        <v>0</v>
      </c>
      <c r="U38" s="8"/>
      <c r="V38" s="8">
        <f t="shared" si="18"/>
        <v>0</v>
      </c>
      <c r="W38" s="8">
        <f t="shared" si="19"/>
        <v>0</v>
      </c>
      <c r="X38" s="8">
        <f t="shared" si="20"/>
        <v>0</v>
      </c>
      <c r="Y38" s="8">
        <f>IFERROR((U38+V38)*INDEX([1]Sheet1!$A$1:$A$13,MATCH((U38+V38),[1]Sheet1!$B$1:$B$13)),0)</f>
        <v>0</v>
      </c>
      <c r="Z38" s="6">
        <f t="shared" si="21"/>
        <v>0</v>
      </c>
      <c r="AA38" s="8"/>
      <c r="AB38" s="8">
        <f t="shared" si="22"/>
        <v>0</v>
      </c>
      <c r="AC38" s="8">
        <f t="shared" si="23"/>
        <v>0</v>
      </c>
      <c r="AD38" s="8">
        <f t="shared" si="24"/>
        <v>0</v>
      </c>
      <c r="AE38" s="8">
        <f>IFERROR((AA38+AB38)*INDEX([1]Sheet1!$A$1:$A$13,MATCH((AA38+AB38),[1]Sheet1!$B$1:$B$13)),0)</f>
        <v>0</v>
      </c>
      <c r="AF38" s="6">
        <f t="shared" si="25"/>
        <v>0</v>
      </c>
      <c r="AG38" s="8"/>
      <c r="AH38" s="8">
        <f t="shared" si="26"/>
        <v>0</v>
      </c>
      <c r="AI38" s="8">
        <f t="shared" si="27"/>
        <v>0</v>
      </c>
      <c r="AJ38" s="8">
        <f t="shared" si="28"/>
        <v>0</v>
      </c>
      <c r="AK38" s="8">
        <f>IFERROR((AG38+AH38)*INDEX([1]Sheet1!$A$1:$A$13,MATCH((AG38+AH38),[1]Sheet1!$B$1:$B$13)),0)</f>
        <v>0</v>
      </c>
      <c r="AL38" s="6">
        <f t="shared" si="29"/>
        <v>0</v>
      </c>
      <c r="AM38" s="8"/>
      <c r="AN38" s="8">
        <f t="shared" si="30"/>
        <v>0</v>
      </c>
      <c r="AO38" s="8">
        <f t="shared" si="31"/>
        <v>0</v>
      </c>
      <c r="AP38" s="8">
        <f t="shared" si="9"/>
        <v>0</v>
      </c>
      <c r="AQ38" s="8">
        <f>IFERROR((AM38+AN38)*INDEX([1]Sheet1!$A$1:$A$13,MATCH((AM38+AN38),[1]Sheet1!$B$1:$B$13)),0)</f>
        <v>0</v>
      </c>
      <c r="AR38" s="6">
        <f t="shared" si="32"/>
        <v>0</v>
      </c>
      <c r="AS38" s="8"/>
      <c r="AT38" s="8">
        <f t="shared" si="33"/>
        <v>0</v>
      </c>
      <c r="AU38" s="8">
        <f t="shared" si="34"/>
        <v>0</v>
      </c>
      <c r="AV38" s="8">
        <f t="shared" si="10"/>
        <v>0</v>
      </c>
      <c r="AW38" s="8">
        <f>IFERROR((AS38+AT38)*INDEX([1]Sheet1!$A$1:$A$13,MATCH((AS38+AT38),[1]Sheet1!$B$1:$B$13)),0)</f>
        <v>0</v>
      </c>
      <c r="BC38" s="1" t="str">
        <f t="shared" si="35"/>
        <v/>
      </c>
    </row>
    <row r="39" spans="1:55" ht="18" customHeight="1" x14ac:dyDescent="0.2">
      <c r="A39" s="4"/>
      <c r="B39" s="5"/>
      <c r="C39" s="6"/>
      <c r="D39" s="6"/>
      <c r="E39" s="6"/>
      <c r="F39" s="4"/>
      <c r="G39" s="7"/>
      <c r="H39" s="6">
        <f t="shared" si="11"/>
        <v>0</v>
      </c>
      <c r="I39" s="8"/>
      <c r="J39" s="8"/>
      <c r="K39" s="8">
        <f t="shared" si="12"/>
        <v>0</v>
      </c>
      <c r="L39" s="8">
        <f t="shared" si="36"/>
        <v>0</v>
      </c>
      <c r="M39" s="8">
        <f>IFERROR((I39+J39)*INDEX([1]Sheet1!$A$1:$A$13,MATCH((I39+J39),[1]Sheet1!$B$1:$B$13)),0)</f>
        <v>0</v>
      </c>
      <c r="N39" s="6">
        <f t="shared" si="13"/>
        <v>0</v>
      </c>
      <c r="O39" s="8"/>
      <c r="P39" s="8">
        <f t="shared" si="14"/>
        <v>0</v>
      </c>
      <c r="Q39" s="8">
        <f t="shared" si="15"/>
        <v>0</v>
      </c>
      <c r="R39" s="8">
        <f t="shared" si="16"/>
        <v>0</v>
      </c>
      <c r="S39" s="8">
        <f>IFERROR((O39+P39)*INDEX([1]Sheet1!$A$1:$A$13,MATCH((O39+P39),[1]Sheet1!$B$1:$B$13)),0)</f>
        <v>0</v>
      </c>
      <c r="T39" s="6">
        <f t="shared" si="17"/>
        <v>0</v>
      </c>
      <c r="U39" s="8"/>
      <c r="V39" s="8">
        <f t="shared" si="18"/>
        <v>0</v>
      </c>
      <c r="W39" s="8">
        <f t="shared" si="19"/>
        <v>0</v>
      </c>
      <c r="X39" s="8">
        <f t="shared" si="20"/>
        <v>0</v>
      </c>
      <c r="Y39" s="8">
        <f>IFERROR((U39+V39)*INDEX([1]Sheet1!$A$1:$A$13,MATCH((U39+V39),[1]Sheet1!$B$1:$B$13)),0)</f>
        <v>0</v>
      </c>
      <c r="Z39" s="6">
        <f t="shared" si="21"/>
        <v>0</v>
      </c>
      <c r="AA39" s="8"/>
      <c r="AB39" s="8">
        <f t="shared" si="22"/>
        <v>0</v>
      </c>
      <c r="AC39" s="8">
        <f t="shared" si="23"/>
        <v>0</v>
      </c>
      <c r="AD39" s="8">
        <f t="shared" si="24"/>
        <v>0</v>
      </c>
      <c r="AE39" s="8">
        <f>IFERROR((AA39+AB39)*INDEX([1]Sheet1!$A$1:$A$13,MATCH((AA39+AB39),[1]Sheet1!$B$1:$B$13)),0)</f>
        <v>0</v>
      </c>
      <c r="AF39" s="6">
        <f t="shared" si="25"/>
        <v>0</v>
      </c>
      <c r="AG39" s="8"/>
      <c r="AH39" s="8">
        <f t="shared" si="26"/>
        <v>0</v>
      </c>
      <c r="AI39" s="8">
        <f t="shared" si="27"/>
        <v>0</v>
      </c>
      <c r="AJ39" s="8">
        <f t="shared" si="28"/>
        <v>0</v>
      </c>
      <c r="AK39" s="8">
        <f>IFERROR((AG39+AH39)*INDEX([1]Sheet1!$A$1:$A$13,MATCH((AG39+AH39),[1]Sheet1!$B$1:$B$13)),0)</f>
        <v>0</v>
      </c>
      <c r="AL39" s="6">
        <f t="shared" si="29"/>
        <v>0</v>
      </c>
      <c r="AM39" s="8"/>
      <c r="AN39" s="8">
        <f t="shared" si="30"/>
        <v>0</v>
      </c>
      <c r="AO39" s="8">
        <f t="shared" si="31"/>
        <v>0</v>
      </c>
      <c r="AP39" s="8">
        <f t="shared" si="9"/>
        <v>0</v>
      </c>
      <c r="AQ39" s="8">
        <f>IFERROR((AM39+AN39)*INDEX([1]Sheet1!$A$1:$A$13,MATCH((AM39+AN39),[1]Sheet1!$B$1:$B$13)),0)</f>
        <v>0</v>
      </c>
      <c r="AR39" s="6">
        <f t="shared" si="32"/>
        <v>0</v>
      </c>
      <c r="AS39" s="8"/>
      <c r="AT39" s="8">
        <f t="shared" si="33"/>
        <v>0</v>
      </c>
      <c r="AU39" s="8">
        <f t="shared" si="34"/>
        <v>0</v>
      </c>
      <c r="AV39" s="8">
        <f t="shared" si="10"/>
        <v>0</v>
      </c>
      <c r="AW39" s="8">
        <f>IFERROR((AS39+AT39)*INDEX([1]Sheet1!$A$1:$A$13,MATCH((AS39+AT39),[1]Sheet1!$B$1:$B$13)),0)</f>
        <v>0</v>
      </c>
      <c r="BC39" s="1" t="str">
        <f t="shared" si="35"/>
        <v/>
      </c>
    </row>
    <row r="40" spans="1:55" ht="18" customHeight="1" x14ac:dyDescent="0.2">
      <c r="A40" s="4"/>
      <c r="B40" s="5"/>
      <c r="C40" s="6"/>
      <c r="D40" s="6"/>
      <c r="E40" s="6"/>
      <c r="F40" s="4"/>
      <c r="G40" s="7"/>
      <c r="H40" s="6">
        <f t="shared" si="11"/>
        <v>0</v>
      </c>
      <c r="I40" s="8"/>
      <c r="J40" s="8"/>
      <c r="K40" s="8">
        <f t="shared" si="12"/>
        <v>0</v>
      </c>
      <c r="L40" s="8">
        <f t="shared" si="36"/>
        <v>0</v>
      </c>
      <c r="M40" s="8">
        <f>IFERROR((I40+J40)*INDEX([1]Sheet1!$A$1:$A$13,MATCH((I40+J40),[1]Sheet1!$B$1:$B$13)),0)</f>
        <v>0</v>
      </c>
      <c r="N40" s="6">
        <f t="shared" si="13"/>
        <v>0</v>
      </c>
      <c r="O40" s="8"/>
      <c r="P40" s="8">
        <f t="shared" si="14"/>
        <v>0</v>
      </c>
      <c r="Q40" s="8">
        <f t="shared" si="15"/>
        <v>0</v>
      </c>
      <c r="R40" s="8">
        <f t="shared" si="16"/>
        <v>0</v>
      </c>
      <c r="S40" s="8">
        <f>IFERROR((O40+P40)*INDEX([1]Sheet1!$A$1:$A$13,MATCH((O40+P40),[1]Sheet1!$B$1:$B$13)),0)</f>
        <v>0</v>
      </c>
      <c r="T40" s="6">
        <f t="shared" si="17"/>
        <v>0</v>
      </c>
      <c r="U40" s="8"/>
      <c r="V40" s="8">
        <f t="shared" si="18"/>
        <v>0</v>
      </c>
      <c r="W40" s="8">
        <f t="shared" si="19"/>
        <v>0</v>
      </c>
      <c r="X40" s="8">
        <f t="shared" si="20"/>
        <v>0</v>
      </c>
      <c r="Y40" s="8">
        <f>IFERROR((U40+V40)*INDEX([1]Sheet1!$A$1:$A$13,MATCH((U40+V40),[1]Sheet1!$B$1:$B$13)),0)</f>
        <v>0</v>
      </c>
      <c r="Z40" s="6">
        <f t="shared" si="21"/>
        <v>0</v>
      </c>
      <c r="AA40" s="8"/>
      <c r="AB40" s="8">
        <f t="shared" si="22"/>
        <v>0</v>
      </c>
      <c r="AC40" s="8">
        <f t="shared" si="23"/>
        <v>0</v>
      </c>
      <c r="AD40" s="8">
        <f t="shared" si="24"/>
        <v>0</v>
      </c>
      <c r="AE40" s="8">
        <f>IFERROR((AA40+AB40)*INDEX([1]Sheet1!$A$1:$A$13,MATCH((AA40+AB40),[1]Sheet1!$B$1:$B$13)),0)</f>
        <v>0</v>
      </c>
      <c r="AF40" s="6">
        <f t="shared" si="25"/>
        <v>0</v>
      </c>
      <c r="AG40" s="8"/>
      <c r="AH40" s="8">
        <f t="shared" si="26"/>
        <v>0</v>
      </c>
      <c r="AI40" s="8">
        <f t="shared" si="27"/>
        <v>0</v>
      </c>
      <c r="AJ40" s="8">
        <f t="shared" si="28"/>
        <v>0</v>
      </c>
      <c r="AK40" s="8">
        <f>IFERROR((AG40+AH40)*INDEX([1]Sheet1!$A$1:$A$13,MATCH((AG40+AH40),[1]Sheet1!$B$1:$B$13)),0)</f>
        <v>0</v>
      </c>
      <c r="AL40" s="6">
        <f t="shared" si="29"/>
        <v>0</v>
      </c>
      <c r="AM40" s="8"/>
      <c r="AN40" s="8">
        <f t="shared" si="30"/>
        <v>0</v>
      </c>
      <c r="AO40" s="8">
        <f t="shared" si="31"/>
        <v>0</v>
      </c>
      <c r="AP40" s="8">
        <f t="shared" si="9"/>
        <v>0</v>
      </c>
      <c r="AQ40" s="8">
        <f>IFERROR((AM40+AN40)*INDEX([1]Sheet1!$A$1:$A$13,MATCH((AM40+AN40),[1]Sheet1!$B$1:$B$13)),0)</f>
        <v>0</v>
      </c>
      <c r="AR40" s="6">
        <f t="shared" si="32"/>
        <v>0</v>
      </c>
      <c r="AS40" s="8"/>
      <c r="AT40" s="8">
        <f t="shared" si="33"/>
        <v>0</v>
      </c>
      <c r="AU40" s="8">
        <f t="shared" si="34"/>
        <v>0</v>
      </c>
      <c r="AV40" s="8">
        <f t="shared" si="10"/>
        <v>0</v>
      </c>
      <c r="AW40" s="8">
        <f>IFERROR((AS40+AT40)*INDEX([1]Sheet1!$A$1:$A$13,MATCH((AS40+AT40),[1]Sheet1!$B$1:$B$13)),0)</f>
        <v>0</v>
      </c>
      <c r="BC40" s="1" t="str">
        <f t="shared" si="35"/>
        <v/>
      </c>
    </row>
    <row r="41" spans="1:55" ht="18" customHeight="1" x14ac:dyDescent="0.2">
      <c r="A41" s="4"/>
      <c r="B41" s="6"/>
      <c r="C41" s="6"/>
      <c r="D41" s="6"/>
      <c r="E41" s="6"/>
      <c r="F41" s="4"/>
      <c r="G41" s="7"/>
      <c r="H41" s="6">
        <f t="shared" si="11"/>
        <v>0</v>
      </c>
      <c r="I41" s="8"/>
      <c r="J41" s="8"/>
      <c r="K41" s="8">
        <f t="shared" si="12"/>
        <v>0</v>
      </c>
      <c r="L41" s="8">
        <f t="shared" si="36"/>
        <v>0</v>
      </c>
      <c r="M41" s="8">
        <f>IFERROR((I41+J41)*INDEX([1]Sheet1!$A$1:$A$13,MATCH((I41+J41),[1]Sheet1!$B$1:$B$13)),0)</f>
        <v>0</v>
      </c>
      <c r="N41" s="6">
        <f t="shared" si="13"/>
        <v>0</v>
      </c>
      <c r="O41" s="8"/>
      <c r="P41" s="8">
        <f t="shared" si="14"/>
        <v>0</v>
      </c>
      <c r="Q41" s="8">
        <f t="shared" si="15"/>
        <v>0</v>
      </c>
      <c r="R41" s="8">
        <f t="shared" si="16"/>
        <v>0</v>
      </c>
      <c r="S41" s="8">
        <f>IFERROR((O41+P41)*INDEX([1]Sheet1!$A$1:$A$13,MATCH((O41+P41),[1]Sheet1!$B$1:$B$13)),0)</f>
        <v>0</v>
      </c>
      <c r="T41" s="6">
        <f t="shared" si="17"/>
        <v>0</v>
      </c>
      <c r="U41" s="8"/>
      <c r="V41" s="8">
        <f t="shared" si="18"/>
        <v>0</v>
      </c>
      <c r="W41" s="8">
        <f t="shared" si="19"/>
        <v>0</v>
      </c>
      <c r="X41" s="8">
        <f t="shared" si="20"/>
        <v>0</v>
      </c>
      <c r="Y41" s="8">
        <f>IFERROR((U41+V41)*INDEX([1]Sheet1!$A$1:$A$13,MATCH((U41+V41),[1]Sheet1!$B$1:$B$13)),0)</f>
        <v>0</v>
      </c>
      <c r="Z41" s="6">
        <f t="shared" si="21"/>
        <v>0</v>
      </c>
      <c r="AA41" s="8"/>
      <c r="AB41" s="8">
        <f t="shared" si="22"/>
        <v>0</v>
      </c>
      <c r="AC41" s="8">
        <f t="shared" si="23"/>
        <v>0</v>
      </c>
      <c r="AD41" s="8">
        <f t="shared" si="24"/>
        <v>0</v>
      </c>
      <c r="AE41" s="8">
        <f>IFERROR((AA41+AB41)*INDEX([1]Sheet1!$A$1:$A$13,MATCH((AA41+AB41),[1]Sheet1!$B$1:$B$13)),0)</f>
        <v>0</v>
      </c>
      <c r="AF41" s="6">
        <f t="shared" si="25"/>
        <v>0</v>
      </c>
      <c r="AG41" s="8"/>
      <c r="AH41" s="8">
        <f t="shared" si="26"/>
        <v>0</v>
      </c>
      <c r="AI41" s="8">
        <f t="shared" si="27"/>
        <v>0</v>
      </c>
      <c r="AJ41" s="8">
        <f t="shared" si="28"/>
        <v>0</v>
      </c>
      <c r="AK41" s="8">
        <f>IFERROR((AG41+AH41)*INDEX([1]Sheet1!$A$1:$A$13,MATCH((AG41+AH41),[1]Sheet1!$B$1:$B$13)),0)</f>
        <v>0</v>
      </c>
      <c r="AL41" s="6">
        <f t="shared" si="29"/>
        <v>0</v>
      </c>
      <c r="AM41" s="8"/>
      <c r="AN41" s="8">
        <f t="shared" si="30"/>
        <v>0</v>
      </c>
      <c r="AO41" s="8">
        <f t="shared" si="31"/>
        <v>0</v>
      </c>
      <c r="AP41" s="8">
        <f t="shared" si="9"/>
        <v>0</v>
      </c>
      <c r="AQ41" s="8">
        <f>IFERROR((AM41+AN41)*INDEX([1]Sheet1!$A$1:$A$13,MATCH((AM41+AN41),[1]Sheet1!$B$1:$B$13)),0)</f>
        <v>0</v>
      </c>
      <c r="AR41" s="6">
        <f t="shared" si="32"/>
        <v>0</v>
      </c>
      <c r="AS41" s="8"/>
      <c r="AT41" s="8">
        <f t="shared" si="33"/>
        <v>0</v>
      </c>
      <c r="AU41" s="8">
        <f t="shared" si="34"/>
        <v>0</v>
      </c>
      <c r="AV41" s="8">
        <f t="shared" si="10"/>
        <v>0</v>
      </c>
      <c r="AW41" s="8">
        <f>IFERROR((AS41+AT41)*INDEX([1]Sheet1!$A$1:$A$13,MATCH((AS41+AT41),[1]Sheet1!$B$1:$B$13)),0)</f>
        <v>0</v>
      </c>
      <c r="BC41" s="1" t="str">
        <f t="shared" si="35"/>
        <v/>
      </c>
    </row>
    <row r="42" spans="1:55" ht="18" customHeight="1" x14ac:dyDescent="0.2">
      <c r="A42" s="4"/>
      <c r="B42" s="5"/>
      <c r="C42" s="6"/>
      <c r="D42" s="6"/>
      <c r="E42" s="6"/>
      <c r="F42" s="4"/>
      <c r="G42" s="7"/>
      <c r="H42" s="6">
        <f t="shared" si="11"/>
        <v>0</v>
      </c>
      <c r="I42" s="8"/>
      <c r="J42" s="8"/>
      <c r="K42" s="8">
        <f t="shared" si="12"/>
        <v>0</v>
      </c>
      <c r="L42" s="8">
        <f t="shared" si="36"/>
        <v>0</v>
      </c>
      <c r="M42" s="8">
        <f>IFERROR((I42+J42)*INDEX([1]Sheet1!$A$1:$A$13,MATCH((I42+J42),[1]Sheet1!$B$1:$B$13)),0)</f>
        <v>0</v>
      </c>
      <c r="N42" s="6">
        <f t="shared" si="13"/>
        <v>0</v>
      </c>
      <c r="O42" s="8"/>
      <c r="P42" s="8">
        <f t="shared" si="14"/>
        <v>0</v>
      </c>
      <c r="Q42" s="8">
        <f t="shared" si="15"/>
        <v>0</v>
      </c>
      <c r="R42" s="8">
        <f t="shared" si="16"/>
        <v>0</v>
      </c>
      <c r="S42" s="8">
        <f>IFERROR((O42+P42)*INDEX([1]Sheet1!$A$1:$A$13,MATCH((O42+P42),[1]Sheet1!$B$1:$B$13)),0)</f>
        <v>0</v>
      </c>
      <c r="T42" s="6">
        <f t="shared" si="17"/>
        <v>0</v>
      </c>
      <c r="U42" s="8"/>
      <c r="V42" s="8">
        <f t="shared" si="18"/>
        <v>0</v>
      </c>
      <c r="W42" s="8">
        <f t="shared" si="19"/>
        <v>0</v>
      </c>
      <c r="X42" s="8">
        <f t="shared" si="20"/>
        <v>0</v>
      </c>
      <c r="Y42" s="8">
        <f>IFERROR((U42+V42)*INDEX([1]Sheet1!$A$1:$A$13,MATCH((U42+V42),[1]Sheet1!$B$1:$B$13)),0)</f>
        <v>0</v>
      </c>
      <c r="Z42" s="6">
        <f t="shared" si="21"/>
        <v>0</v>
      </c>
      <c r="AA42" s="8"/>
      <c r="AB42" s="8">
        <f t="shared" si="22"/>
        <v>0</v>
      </c>
      <c r="AC42" s="8">
        <f t="shared" si="23"/>
        <v>0</v>
      </c>
      <c r="AD42" s="8">
        <f t="shared" si="24"/>
        <v>0</v>
      </c>
      <c r="AE42" s="8">
        <f>IFERROR((AA42+AB42)*INDEX([1]Sheet1!$A$1:$A$13,MATCH((AA42+AB42),[1]Sheet1!$B$1:$B$13)),0)</f>
        <v>0</v>
      </c>
      <c r="AF42" s="6">
        <f t="shared" si="25"/>
        <v>0</v>
      </c>
      <c r="AG42" s="8"/>
      <c r="AH42" s="8">
        <f t="shared" si="26"/>
        <v>0</v>
      </c>
      <c r="AI42" s="8">
        <f t="shared" si="27"/>
        <v>0</v>
      </c>
      <c r="AJ42" s="8">
        <f t="shared" si="28"/>
        <v>0</v>
      </c>
      <c r="AK42" s="8">
        <f>IFERROR((AG42+AH42)*INDEX([1]Sheet1!$A$1:$A$13,MATCH((AG42+AH42),[1]Sheet1!$B$1:$B$13)),0)</f>
        <v>0</v>
      </c>
      <c r="AL42" s="6">
        <f t="shared" si="29"/>
        <v>0</v>
      </c>
      <c r="AM42" s="8"/>
      <c r="AN42" s="8">
        <f t="shared" si="30"/>
        <v>0</v>
      </c>
      <c r="AO42" s="8">
        <f t="shared" si="31"/>
        <v>0</v>
      </c>
      <c r="AP42" s="8">
        <f t="shared" si="9"/>
        <v>0</v>
      </c>
      <c r="AQ42" s="8">
        <f>IFERROR((AM42+AN42)*INDEX([1]Sheet1!$A$1:$A$13,MATCH((AM42+AN42),[1]Sheet1!$B$1:$B$13)),0)</f>
        <v>0</v>
      </c>
      <c r="AR42" s="6">
        <f t="shared" si="32"/>
        <v>0</v>
      </c>
      <c r="AS42" s="8"/>
      <c r="AT42" s="8">
        <f t="shared" si="33"/>
        <v>0</v>
      </c>
      <c r="AU42" s="8">
        <f t="shared" si="34"/>
        <v>0</v>
      </c>
      <c r="AV42" s="8">
        <f t="shared" si="10"/>
        <v>0</v>
      </c>
      <c r="AW42" s="8">
        <f>IFERROR((AS42+AT42)*INDEX([1]Sheet1!$A$1:$A$13,MATCH((AS42+AT42),[1]Sheet1!$B$1:$B$13)),0)</f>
        <v>0</v>
      </c>
      <c r="BC42" s="1" t="str">
        <f t="shared" si="35"/>
        <v/>
      </c>
    </row>
    <row r="43" spans="1:55" ht="18" customHeight="1" x14ac:dyDescent="0.2">
      <c r="A43" s="4"/>
      <c r="B43" s="5"/>
      <c r="C43" s="6"/>
      <c r="D43" s="6"/>
      <c r="E43" s="6"/>
      <c r="F43" s="4"/>
      <c r="G43" s="7"/>
      <c r="H43" s="6">
        <f t="shared" si="11"/>
        <v>0</v>
      </c>
      <c r="I43" s="8"/>
      <c r="J43" s="8"/>
      <c r="K43" s="8">
        <f t="shared" si="12"/>
        <v>0</v>
      </c>
      <c r="L43" s="8">
        <f t="shared" si="36"/>
        <v>0</v>
      </c>
      <c r="M43" s="8">
        <f>IFERROR((I43+J43)*INDEX([1]Sheet1!$A$1:$A$13,MATCH((I43+J43),[1]Sheet1!$B$1:$B$13)),0)</f>
        <v>0</v>
      </c>
      <c r="N43" s="6">
        <f t="shared" si="13"/>
        <v>0</v>
      </c>
      <c r="O43" s="8"/>
      <c r="P43" s="8">
        <f t="shared" si="14"/>
        <v>0</v>
      </c>
      <c r="Q43" s="8">
        <f t="shared" si="15"/>
        <v>0</v>
      </c>
      <c r="R43" s="8">
        <f t="shared" si="16"/>
        <v>0</v>
      </c>
      <c r="S43" s="8">
        <f>IFERROR((O43+P43)*INDEX([1]Sheet1!$A$1:$A$13,MATCH((O43+P43),[1]Sheet1!$B$1:$B$13)),0)</f>
        <v>0</v>
      </c>
      <c r="T43" s="6">
        <f t="shared" si="17"/>
        <v>0</v>
      </c>
      <c r="U43" s="8"/>
      <c r="V43" s="8">
        <f t="shared" si="18"/>
        <v>0</v>
      </c>
      <c r="W43" s="8">
        <f t="shared" si="19"/>
        <v>0</v>
      </c>
      <c r="X43" s="8">
        <f t="shared" si="20"/>
        <v>0</v>
      </c>
      <c r="Y43" s="8">
        <f>IFERROR((U43+V43)*INDEX([1]Sheet1!$A$1:$A$13,MATCH((U43+V43),[1]Sheet1!$B$1:$B$13)),0)</f>
        <v>0</v>
      </c>
      <c r="Z43" s="6">
        <f t="shared" si="21"/>
        <v>0</v>
      </c>
      <c r="AA43" s="8"/>
      <c r="AB43" s="8">
        <f t="shared" si="22"/>
        <v>0</v>
      </c>
      <c r="AC43" s="8">
        <f t="shared" si="23"/>
        <v>0</v>
      </c>
      <c r="AD43" s="8">
        <f t="shared" si="24"/>
        <v>0</v>
      </c>
      <c r="AE43" s="8">
        <f>IFERROR((AA43+AB43)*INDEX([1]Sheet1!$A$1:$A$13,MATCH((AA43+AB43),[1]Sheet1!$B$1:$B$13)),0)</f>
        <v>0</v>
      </c>
      <c r="AF43" s="6">
        <f t="shared" si="25"/>
        <v>0</v>
      </c>
      <c r="AG43" s="8"/>
      <c r="AH43" s="8">
        <f t="shared" si="26"/>
        <v>0</v>
      </c>
      <c r="AI43" s="8">
        <f t="shared" si="27"/>
        <v>0</v>
      </c>
      <c r="AJ43" s="8">
        <f t="shared" si="28"/>
        <v>0</v>
      </c>
      <c r="AK43" s="8">
        <f>IFERROR((AG43+AH43)*INDEX([1]Sheet1!$A$1:$A$13,MATCH((AG43+AH43),[1]Sheet1!$B$1:$B$13)),0)</f>
        <v>0</v>
      </c>
      <c r="AL43" s="6">
        <f t="shared" si="29"/>
        <v>0</v>
      </c>
      <c r="AM43" s="8"/>
      <c r="AN43" s="8">
        <f t="shared" si="30"/>
        <v>0</v>
      </c>
      <c r="AO43" s="8">
        <f t="shared" si="31"/>
        <v>0</v>
      </c>
      <c r="AP43" s="8">
        <f t="shared" si="9"/>
        <v>0</v>
      </c>
      <c r="AQ43" s="8">
        <f>IFERROR((AM43+AN43)*INDEX([1]Sheet1!$A$1:$A$13,MATCH((AM43+AN43),[1]Sheet1!$B$1:$B$13)),0)</f>
        <v>0</v>
      </c>
      <c r="AR43" s="6">
        <f t="shared" si="32"/>
        <v>0</v>
      </c>
      <c r="AS43" s="8"/>
      <c r="AT43" s="8">
        <f t="shared" si="33"/>
        <v>0</v>
      </c>
      <c r="AU43" s="8">
        <f t="shared" si="34"/>
        <v>0</v>
      </c>
      <c r="AV43" s="8">
        <f t="shared" si="10"/>
        <v>0</v>
      </c>
      <c r="AW43" s="8">
        <f>IFERROR((AS43+AT43)*INDEX([1]Sheet1!$A$1:$A$13,MATCH((AS43+AT43),[1]Sheet1!$B$1:$B$13)),0)</f>
        <v>0</v>
      </c>
      <c r="BC43" s="1" t="str">
        <f t="shared" si="35"/>
        <v/>
      </c>
    </row>
    <row r="44" spans="1:55" ht="18" customHeight="1" x14ac:dyDescent="0.2">
      <c r="A44" s="4"/>
      <c r="B44" s="5"/>
      <c r="C44" s="6"/>
      <c r="D44" s="6"/>
      <c r="E44" s="6"/>
      <c r="F44" s="4"/>
      <c r="G44" s="7"/>
      <c r="H44" s="6">
        <f t="shared" si="11"/>
        <v>0</v>
      </c>
      <c r="I44" s="8"/>
      <c r="J44" s="8"/>
      <c r="K44" s="8">
        <f t="shared" si="12"/>
        <v>0</v>
      </c>
      <c r="L44" s="8">
        <f t="shared" si="36"/>
        <v>0</v>
      </c>
      <c r="M44" s="8">
        <f>IFERROR((I44+J44)*INDEX([1]Sheet1!$A$1:$A$13,MATCH((I44+J44),[1]Sheet1!$B$1:$B$13)),0)</f>
        <v>0</v>
      </c>
      <c r="N44" s="6">
        <f t="shared" si="13"/>
        <v>0</v>
      </c>
      <c r="O44" s="8"/>
      <c r="P44" s="8">
        <f t="shared" si="14"/>
        <v>0</v>
      </c>
      <c r="Q44" s="8">
        <f t="shared" si="15"/>
        <v>0</v>
      </c>
      <c r="R44" s="8">
        <f t="shared" si="16"/>
        <v>0</v>
      </c>
      <c r="S44" s="8">
        <f>IFERROR((O44+P44)*INDEX([1]Sheet1!$A$1:$A$13,MATCH((O44+P44),[1]Sheet1!$B$1:$B$13)),0)</f>
        <v>0</v>
      </c>
      <c r="T44" s="6">
        <f t="shared" si="17"/>
        <v>0</v>
      </c>
      <c r="U44" s="8"/>
      <c r="V44" s="8">
        <f t="shared" si="18"/>
        <v>0</v>
      </c>
      <c r="W44" s="8">
        <f t="shared" si="19"/>
        <v>0</v>
      </c>
      <c r="X44" s="8">
        <f t="shared" si="20"/>
        <v>0</v>
      </c>
      <c r="Y44" s="8">
        <f>IFERROR((U44+V44)*INDEX([1]Sheet1!$A$1:$A$13,MATCH((U44+V44),[1]Sheet1!$B$1:$B$13)),0)</f>
        <v>0</v>
      </c>
      <c r="Z44" s="6">
        <f t="shared" si="21"/>
        <v>0</v>
      </c>
      <c r="AA44" s="8"/>
      <c r="AB44" s="8">
        <f t="shared" si="22"/>
        <v>0</v>
      </c>
      <c r="AC44" s="8">
        <f t="shared" si="23"/>
        <v>0</v>
      </c>
      <c r="AD44" s="8">
        <f t="shared" si="24"/>
        <v>0</v>
      </c>
      <c r="AE44" s="8">
        <f>IFERROR((AA44+AB44)*INDEX([1]Sheet1!$A$1:$A$13,MATCH((AA44+AB44),[1]Sheet1!$B$1:$B$13)),0)</f>
        <v>0</v>
      </c>
      <c r="AF44" s="6">
        <f t="shared" si="25"/>
        <v>0</v>
      </c>
      <c r="AG44" s="8"/>
      <c r="AH44" s="8">
        <f t="shared" si="26"/>
        <v>0</v>
      </c>
      <c r="AI44" s="8">
        <f t="shared" si="27"/>
        <v>0</v>
      </c>
      <c r="AJ44" s="8">
        <f t="shared" si="28"/>
        <v>0</v>
      </c>
      <c r="AK44" s="8">
        <f>IFERROR((AG44+AH44)*INDEX([1]Sheet1!$A$1:$A$13,MATCH((AG44+AH44),[1]Sheet1!$B$1:$B$13)),0)</f>
        <v>0</v>
      </c>
      <c r="AL44" s="6">
        <f t="shared" si="29"/>
        <v>0</v>
      </c>
      <c r="AM44" s="8"/>
      <c r="AN44" s="8">
        <f t="shared" si="30"/>
        <v>0</v>
      </c>
      <c r="AO44" s="8">
        <f t="shared" si="31"/>
        <v>0</v>
      </c>
      <c r="AP44" s="8">
        <f t="shared" si="9"/>
        <v>0</v>
      </c>
      <c r="AQ44" s="8">
        <f>IFERROR((AM44+AN44)*INDEX([1]Sheet1!$A$1:$A$13,MATCH((AM44+AN44),[1]Sheet1!$B$1:$B$13)),0)</f>
        <v>0</v>
      </c>
      <c r="AR44" s="6">
        <f t="shared" si="32"/>
        <v>0</v>
      </c>
      <c r="AS44" s="8"/>
      <c r="AT44" s="8">
        <f t="shared" si="33"/>
        <v>0</v>
      </c>
      <c r="AU44" s="8">
        <f t="shared" si="34"/>
        <v>0</v>
      </c>
      <c r="AV44" s="8">
        <f t="shared" si="10"/>
        <v>0</v>
      </c>
      <c r="AW44" s="8">
        <f>IFERROR((AS44+AT44)*INDEX([1]Sheet1!$A$1:$A$13,MATCH((AS44+AT44),[1]Sheet1!$B$1:$B$13)),0)</f>
        <v>0</v>
      </c>
      <c r="BC44" s="1" t="str">
        <f t="shared" si="35"/>
        <v/>
      </c>
    </row>
    <row r="45" spans="1:55" ht="18" customHeight="1" x14ac:dyDescent="0.2">
      <c r="A45" s="4"/>
      <c r="B45" s="5"/>
      <c r="C45" s="6"/>
      <c r="D45" s="6"/>
      <c r="E45" s="6"/>
      <c r="F45" s="4"/>
      <c r="G45" s="7"/>
      <c r="H45" s="6">
        <f t="shared" si="11"/>
        <v>0</v>
      </c>
      <c r="I45" s="8"/>
      <c r="J45" s="8"/>
      <c r="K45" s="8">
        <f t="shared" si="12"/>
        <v>0</v>
      </c>
      <c r="L45" s="8">
        <f t="shared" si="36"/>
        <v>0</v>
      </c>
      <c r="M45" s="8">
        <f>IFERROR((I45+J45)*INDEX([1]Sheet1!$A$1:$A$13,MATCH((I45+J45),[1]Sheet1!$B$1:$B$13)),0)</f>
        <v>0</v>
      </c>
      <c r="N45" s="6">
        <f t="shared" si="13"/>
        <v>0</v>
      </c>
      <c r="O45" s="8"/>
      <c r="P45" s="8">
        <f t="shared" si="14"/>
        <v>0</v>
      </c>
      <c r="Q45" s="8">
        <f t="shared" si="15"/>
        <v>0</v>
      </c>
      <c r="R45" s="8">
        <f t="shared" si="16"/>
        <v>0</v>
      </c>
      <c r="S45" s="8">
        <f>IFERROR((O45+P45)*INDEX([1]Sheet1!$A$1:$A$13,MATCH((O45+P45),[1]Sheet1!$B$1:$B$13)),0)</f>
        <v>0</v>
      </c>
      <c r="T45" s="6">
        <f t="shared" si="17"/>
        <v>0</v>
      </c>
      <c r="U45" s="8"/>
      <c r="V45" s="8">
        <f t="shared" si="18"/>
        <v>0</v>
      </c>
      <c r="W45" s="8">
        <f t="shared" si="19"/>
        <v>0</v>
      </c>
      <c r="X45" s="8">
        <f t="shared" si="20"/>
        <v>0</v>
      </c>
      <c r="Y45" s="8">
        <f>IFERROR((U45+V45)*INDEX([1]Sheet1!$A$1:$A$13,MATCH((U45+V45),[1]Sheet1!$B$1:$B$13)),0)</f>
        <v>0</v>
      </c>
      <c r="Z45" s="6">
        <f t="shared" si="21"/>
        <v>0</v>
      </c>
      <c r="AA45" s="8"/>
      <c r="AB45" s="8">
        <f t="shared" si="22"/>
        <v>0</v>
      </c>
      <c r="AC45" s="8">
        <f t="shared" si="23"/>
        <v>0</v>
      </c>
      <c r="AD45" s="8">
        <f t="shared" si="24"/>
        <v>0</v>
      </c>
      <c r="AE45" s="8">
        <f>IFERROR((AA45+AB45)*INDEX([1]Sheet1!$A$1:$A$13,MATCH((AA45+AB45),[1]Sheet1!$B$1:$B$13)),0)</f>
        <v>0</v>
      </c>
      <c r="AF45" s="6">
        <f t="shared" si="25"/>
        <v>0</v>
      </c>
      <c r="AG45" s="8"/>
      <c r="AH45" s="8">
        <f t="shared" si="26"/>
        <v>0</v>
      </c>
      <c r="AI45" s="8">
        <f t="shared" si="27"/>
        <v>0</v>
      </c>
      <c r="AJ45" s="8">
        <f t="shared" si="28"/>
        <v>0</v>
      </c>
      <c r="AK45" s="8">
        <f>IFERROR((AG45+AH45)*INDEX([1]Sheet1!$A$1:$A$13,MATCH((AG45+AH45),[1]Sheet1!$B$1:$B$13)),0)</f>
        <v>0</v>
      </c>
      <c r="AL45" s="6">
        <f t="shared" si="29"/>
        <v>0</v>
      </c>
      <c r="AM45" s="8"/>
      <c r="AN45" s="8">
        <f t="shared" si="30"/>
        <v>0</v>
      </c>
      <c r="AO45" s="8">
        <f t="shared" si="31"/>
        <v>0</v>
      </c>
      <c r="AP45" s="8">
        <f t="shared" si="9"/>
        <v>0</v>
      </c>
      <c r="AQ45" s="8">
        <f>IFERROR((AM45+AN45)*INDEX([1]Sheet1!$A$1:$A$13,MATCH((AM45+AN45),[1]Sheet1!$B$1:$B$13)),0)</f>
        <v>0</v>
      </c>
      <c r="AR45" s="6">
        <f t="shared" si="32"/>
        <v>0</v>
      </c>
      <c r="AS45" s="8"/>
      <c r="AT45" s="8">
        <f t="shared" si="33"/>
        <v>0</v>
      </c>
      <c r="AU45" s="8">
        <f t="shared" si="34"/>
        <v>0</v>
      </c>
      <c r="AV45" s="8">
        <f t="shared" si="10"/>
        <v>0</v>
      </c>
      <c r="AW45" s="8">
        <f>IFERROR((AS45+AT45)*INDEX([1]Sheet1!$A$1:$A$13,MATCH((AS45+AT45),[1]Sheet1!$B$1:$B$13)),0)</f>
        <v>0</v>
      </c>
      <c r="BC45" s="1" t="str">
        <f t="shared" si="35"/>
        <v/>
      </c>
    </row>
    <row r="46" spans="1:55" ht="18" customHeight="1" x14ac:dyDescent="0.2">
      <c r="A46" s="4"/>
      <c r="B46" s="6"/>
      <c r="C46" s="6"/>
      <c r="D46" s="6"/>
      <c r="E46" s="6"/>
      <c r="F46" s="4"/>
      <c r="G46" s="7"/>
      <c r="H46" s="6">
        <f t="shared" si="11"/>
        <v>0</v>
      </c>
      <c r="I46" s="8"/>
      <c r="J46" s="8"/>
      <c r="K46" s="8">
        <f t="shared" si="12"/>
        <v>0</v>
      </c>
      <c r="L46" s="8">
        <f t="shared" si="36"/>
        <v>0</v>
      </c>
      <c r="M46" s="8">
        <f>IFERROR((I46+J46)*INDEX([1]Sheet1!$A$1:$A$13,MATCH((I46+J46),[1]Sheet1!$B$1:$B$13)),0)</f>
        <v>0</v>
      </c>
      <c r="N46" s="6">
        <f t="shared" si="13"/>
        <v>0</v>
      </c>
      <c r="O46" s="8"/>
      <c r="P46" s="8">
        <f t="shared" si="14"/>
        <v>0</v>
      </c>
      <c r="Q46" s="8">
        <f t="shared" si="15"/>
        <v>0</v>
      </c>
      <c r="R46" s="8">
        <f t="shared" si="16"/>
        <v>0</v>
      </c>
      <c r="S46" s="8">
        <f>IFERROR((O46+P46)*INDEX([1]Sheet1!$A$1:$A$13,MATCH((O46+P46),[1]Sheet1!$B$1:$B$13)),0)</f>
        <v>0</v>
      </c>
      <c r="T46" s="6">
        <f t="shared" si="17"/>
        <v>0</v>
      </c>
      <c r="U46" s="8"/>
      <c r="V46" s="8">
        <f t="shared" si="18"/>
        <v>0</v>
      </c>
      <c r="W46" s="8">
        <f t="shared" si="19"/>
        <v>0</v>
      </c>
      <c r="X46" s="8">
        <f t="shared" si="20"/>
        <v>0</v>
      </c>
      <c r="Y46" s="8">
        <f>IFERROR((U46+V46)*INDEX([1]Sheet1!$A$1:$A$13,MATCH((U46+V46),[1]Sheet1!$B$1:$B$13)),0)</f>
        <v>0</v>
      </c>
      <c r="Z46" s="6">
        <f t="shared" si="21"/>
        <v>0</v>
      </c>
      <c r="AA46" s="8"/>
      <c r="AB46" s="8">
        <f t="shared" si="22"/>
        <v>0</v>
      </c>
      <c r="AC46" s="8">
        <f t="shared" si="23"/>
        <v>0</v>
      </c>
      <c r="AD46" s="8">
        <f t="shared" si="24"/>
        <v>0</v>
      </c>
      <c r="AE46" s="8">
        <f>IFERROR((AA46+AB46)*INDEX([1]Sheet1!$A$1:$A$13,MATCH((AA46+AB46),[1]Sheet1!$B$1:$B$13)),0)</f>
        <v>0</v>
      </c>
      <c r="AF46" s="6">
        <f t="shared" si="25"/>
        <v>0</v>
      </c>
      <c r="AG46" s="8"/>
      <c r="AH46" s="8">
        <f t="shared" si="26"/>
        <v>0</v>
      </c>
      <c r="AI46" s="8">
        <f t="shared" si="27"/>
        <v>0</v>
      </c>
      <c r="AJ46" s="8">
        <f t="shared" si="28"/>
        <v>0</v>
      </c>
      <c r="AK46" s="8">
        <f>IFERROR((AG46+AH46)*INDEX([1]Sheet1!$A$1:$A$13,MATCH((AG46+AH46),[1]Sheet1!$B$1:$B$13)),0)</f>
        <v>0</v>
      </c>
      <c r="AL46" s="6">
        <f t="shared" si="29"/>
        <v>0</v>
      </c>
      <c r="AM46" s="8"/>
      <c r="AN46" s="8">
        <f t="shared" si="30"/>
        <v>0</v>
      </c>
      <c r="AO46" s="8">
        <f t="shared" si="31"/>
        <v>0</v>
      </c>
      <c r="AP46" s="8">
        <f t="shared" si="9"/>
        <v>0</v>
      </c>
      <c r="AQ46" s="8">
        <f>IFERROR((AM46+AN46)*INDEX([1]Sheet1!$A$1:$A$13,MATCH((AM46+AN46),[1]Sheet1!$B$1:$B$13)),0)</f>
        <v>0</v>
      </c>
      <c r="AR46" s="6">
        <f t="shared" si="32"/>
        <v>0</v>
      </c>
      <c r="AS46" s="8"/>
      <c r="AT46" s="8">
        <f t="shared" si="33"/>
        <v>0</v>
      </c>
      <c r="AU46" s="8">
        <f t="shared" si="34"/>
        <v>0</v>
      </c>
      <c r="AV46" s="8">
        <f t="shared" si="10"/>
        <v>0</v>
      </c>
      <c r="AW46" s="8">
        <f>IFERROR((AS46+AT46)*INDEX([1]Sheet1!$A$1:$A$13,MATCH((AS46+AT46),[1]Sheet1!$B$1:$B$13)),0)</f>
        <v>0</v>
      </c>
      <c r="BC46" s="1" t="str">
        <f t="shared" si="35"/>
        <v/>
      </c>
    </row>
    <row r="47" spans="1:55" ht="18" customHeight="1" x14ac:dyDescent="0.2">
      <c r="A47" s="4"/>
      <c r="B47" s="6"/>
      <c r="C47" s="6"/>
      <c r="D47" s="6"/>
      <c r="E47" s="6"/>
      <c r="F47" s="4"/>
      <c r="G47" s="7"/>
      <c r="H47" s="6">
        <f t="shared" si="11"/>
        <v>0</v>
      </c>
      <c r="I47" s="8"/>
      <c r="J47" s="8"/>
      <c r="K47" s="8">
        <f t="shared" si="12"/>
        <v>0</v>
      </c>
      <c r="L47" s="8">
        <f t="shared" si="36"/>
        <v>0</v>
      </c>
      <c r="M47" s="8">
        <f>IFERROR((I47+J47)*INDEX([1]Sheet1!$A$1:$A$13,MATCH((I47+J47),[1]Sheet1!$B$1:$B$13)),0)</f>
        <v>0</v>
      </c>
      <c r="N47" s="6">
        <f t="shared" si="13"/>
        <v>0</v>
      </c>
      <c r="O47" s="8"/>
      <c r="P47" s="8">
        <f t="shared" si="14"/>
        <v>0</v>
      </c>
      <c r="Q47" s="8">
        <f t="shared" si="15"/>
        <v>0</v>
      </c>
      <c r="R47" s="8">
        <f t="shared" si="16"/>
        <v>0</v>
      </c>
      <c r="S47" s="8">
        <f>IFERROR((O47+P47)*INDEX([1]Sheet1!$A$1:$A$13,MATCH((O47+P47),[1]Sheet1!$B$1:$B$13)),0)</f>
        <v>0</v>
      </c>
      <c r="T47" s="6">
        <f t="shared" si="17"/>
        <v>0</v>
      </c>
      <c r="U47" s="8"/>
      <c r="V47" s="8">
        <f t="shared" si="18"/>
        <v>0</v>
      </c>
      <c r="W47" s="8">
        <f t="shared" si="19"/>
        <v>0</v>
      </c>
      <c r="X47" s="8">
        <f t="shared" si="20"/>
        <v>0</v>
      </c>
      <c r="Y47" s="8">
        <f>IFERROR((U47+V47)*INDEX([1]Sheet1!$A$1:$A$13,MATCH((U47+V47),[1]Sheet1!$B$1:$B$13)),0)</f>
        <v>0</v>
      </c>
      <c r="Z47" s="6">
        <f t="shared" si="21"/>
        <v>0</v>
      </c>
      <c r="AA47" s="8"/>
      <c r="AB47" s="8">
        <f t="shared" si="22"/>
        <v>0</v>
      </c>
      <c r="AC47" s="8">
        <f t="shared" si="23"/>
        <v>0</v>
      </c>
      <c r="AD47" s="8">
        <f t="shared" si="24"/>
        <v>0</v>
      </c>
      <c r="AE47" s="8">
        <f>IFERROR((AA47+AB47)*INDEX([1]Sheet1!$A$1:$A$13,MATCH((AA47+AB47),[1]Sheet1!$B$1:$B$13)),0)</f>
        <v>0</v>
      </c>
      <c r="AF47" s="6">
        <f t="shared" si="25"/>
        <v>0</v>
      </c>
      <c r="AG47" s="8"/>
      <c r="AH47" s="8">
        <f t="shared" si="26"/>
        <v>0</v>
      </c>
      <c r="AI47" s="8">
        <f t="shared" si="27"/>
        <v>0</v>
      </c>
      <c r="AJ47" s="8">
        <f t="shared" si="28"/>
        <v>0</v>
      </c>
      <c r="AK47" s="8">
        <f>IFERROR((AG47+AH47)*INDEX([1]Sheet1!$A$1:$A$13,MATCH((AG47+AH47),[1]Sheet1!$B$1:$B$13)),0)</f>
        <v>0</v>
      </c>
      <c r="AL47" s="6">
        <f t="shared" si="29"/>
        <v>0</v>
      </c>
      <c r="AM47" s="8"/>
      <c r="AN47" s="8">
        <f t="shared" si="30"/>
        <v>0</v>
      </c>
      <c r="AO47" s="8">
        <f t="shared" si="31"/>
        <v>0</v>
      </c>
      <c r="AP47" s="8">
        <f t="shared" si="9"/>
        <v>0</v>
      </c>
      <c r="AQ47" s="8">
        <f>IFERROR((AM47+AN47)*INDEX([1]Sheet1!$A$1:$A$13,MATCH((AM47+AN47),[1]Sheet1!$B$1:$B$13)),0)</f>
        <v>0</v>
      </c>
      <c r="AR47" s="6">
        <f t="shared" si="32"/>
        <v>0</v>
      </c>
      <c r="AS47" s="8"/>
      <c r="AT47" s="8">
        <f t="shared" si="33"/>
        <v>0</v>
      </c>
      <c r="AU47" s="8">
        <f t="shared" si="34"/>
        <v>0</v>
      </c>
      <c r="AV47" s="8">
        <f t="shared" si="10"/>
        <v>0</v>
      </c>
      <c r="AW47" s="8">
        <f>IFERROR((AS47+AT47)*INDEX([1]Sheet1!$A$1:$A$13,MATCH((AS47+AT47),[1]Sheet1!$B$1:$B$13)),0)</f>
        <v>0</v>
      </c>
      <c r="BC47" s="1" t="str">
        <f t="shared" si="35"/>
        <v/>
      </c>
    </row>
    <row r="48" spans="1:55" ht="18" customHeight="1" x14ac:dyDescent="0.2">
      <c r="A48" s="4"/>
      <c r="B48" s="6"/>
      <c r="C48" s="6"/>
      <c r="D48" s="6"/>
      <c r="E48" s="6"/>
      <c r="F48" s="4"/>
      <c r="G48" s="7"/>
      <c r="H48" s="6">
        <f t="shared" si="11"/>
        <v>0</v>
      </c>
      <c r="I48" s="8"/>
      <c r="J48" s="8"/>
      <c r="K48" s="8">
        <f t="shared" si="12"/>
        <v>0</v>
      </c>
      <c r="L48" s="8">
        <f t="shared" si="36"/>
        <v>0</v>
      </c>
      <c r="M48" s="8">
        <f>IFERROR((I48+J48)*INDEX([1]Sheet1!$A$1:$A$13,MATCH((I48+J48),[1]Sheet1!$B$1:$B$13)),0)</f>
        <v>0</v>
      </c>
      <c r="N48" s="6">
        <f t="shared" si="13"/>
        <v>0</v>
      </c>
      <c r="O48" s="8"/>
      <c r="P48" s="8">
        <f t="shared" si="14"/>
        <v>0</v>
      </c>
      <c r="Q48" s="8">
        <f t="shared" si="15"/>
        <v>0</v>
      </c>
      <c r="R48" s="8">
        <f t="shared" si="16"/>
        <v>0</v>
      </c>
      <c r="S48" s="8">
        <f>IFERROR((O48+P48)*INDEX([1]Sheet1!$A$1:$A$13,MATCH((O48+P48),[1]Sheet1!$B$1:$B$13)),0)</f>
        <v>0</v>
      </c>
      <c r="T48" s="6">
        <f t="shared" si="17"/>
        <v>0</v>
      </c>
      <c r="U48" s="8"/>
      <c r="V48" s="8">
        <f t="shared" si="18"/>
        <v>0</v>
      </c>
      <c r="W48" s="8">
        <f t="shared" si="19"/>
        <v>0</v>
      </c>
      <c r="X48" s="8">
        <f t="shared" si="20"/>
        <v>0</v>
      </c>
      <c r="Y48" s="8">
        <f>IFERROR((U48+V48)*INDEX([1]Sheet1!$A$1:$A$13,MATCH((U48+V48),[1]Sheet1!$B$1:$B$13)),0)</f>
        <v>0</v>
      </c>
      <c r="Z48" s="6">
        <f t="shared" si="21"/>
        <v>0</v>
      </c>
      <c r="AA48" s="8"/>
      <c r="AB48" s="8">
        <f t="shared" si="22"/>
        <v>0</v>
      </c>
      <c r="AC48" s="8">
        <f t="shared" si="23"/>
        <v>0</v>
      </c>
      <c r="AD48" s="8">
        <f t="shared" si="24"/>
        <v>0</v>
      </c>
      <c r="AE48" s="8">
        <f>IFERROR((AA48+AB48)*INDEX([1]Sheet1!$A$1:$A$13,MATCH((AA48+AB48),[1]Sheet1!$B$1:$B$13)),0)</f>
        <v>0</v>
      </c>
      <c r="AF48" s="6">
        <f t="shared" si="25"/>
        <v>0</v>
      </c>
      <c r="AG48" s="8"/>
      <c r="AH48" s="8">
        <f t="shared" si="26"/>
        <v>0</v>
      </c>
      <c r="AI48" s="8">
        <f t="shared" si="27"/>
        <v>0</v>
      </c>
      <c r="AJ48" s="8">
        <f t="shared" si="28"/>
        <v>0</v>
      </c>
      <c r="AK48" s="8">
        <f>IFERROR((AG48+AH48)*INDEX([1]Sheet1!$A$1:$A$13,MATCH((AG48+AH48),[1]Sheet1!$B$1:$B$13)),0)</f>
        <v>0</v>
      </c>
      <c r="AL48" s="6">
        <f t="shared" si="29"/>
        <v>0</v>
      </c>
      <c r="AM48" s="8"/>
      <c r="AN48" s="8">
        <f t="shared" si="30"/>
        <v>0</v>
      </c>
      <c r="AO48" s="8">
        <f t="shared" si="31"/>
        <v>0</v>
      </c>
      <c r="AP48" s="8">
        <f t="shared" si="9"/>
        <v>0</v>
      </c>
      <c r="AQ48" s="8">
        <f>IFERROR((AM48+AN48)*INDEX([1]Sheet1!$A$1:$A$13,MATCH((AM48+AN48),[1]Sheet1!$B$1:$B$13)),0)</f>
        <v>0</v>
      </c>
      <c r="AR48" s="6">
        <f t="shared" si="32"/>
        <v>0</v>
      </c>
      <c r="AS48" s="8"/>
      <c r="AT48" s="8">
        <f t="shared" si="33"/>
        <v>0</v>
      </c>
      <c r="AU48" s="8">
        <f t="shared" si="34"/>
        <v>0</v>
      </c>
      <c r="AV48" s="8">
        <f t="shared" si="10"/>
        <v>0</v>
      </c>
      <c r="AW48" s="8">
        <f>IFERROR((AS48+AT48)*INDEX([1]Sheet1!$A$1:$A$13,MATCH((AS48+AT48),[1]Sheet1!$B$1:$B$13)),0)</f>
        <v>0</v>
      </c>
      <c r="BC48" s="1" t="str">
        <f t="shared" si="35"/>
        <v/>
      </c>
    </row>
    <row r="49" spans="1:55" ht="18" customHeight="1" x14ac:dyDescent="0.2">
      <c r="A49" s="4"/>
      <c r="B49" s="5"/>
      <c r="C49" s="6"/>
      <c r="D49" s="6"/>
      <c r="E49" s="6"/>
      <c r="F49" s="4"/>
      <c r="G49" s="7"/>
      <c r="H49" s="6">
        <f t="shared" si="11"/>
        <v>0</v>
      </c>
      <c r="I49" s="8"/>
      <c r="J49" s="8"/>
      <c r="K49" s="8">
        <f t="shared" si="12"/>
        <v>0</v>
      </c>
      <c r="L49" s="8">
        <f t="shared" si="36"/>
        <v>0</v>
      </c>
      <c r="M49" s="8">
        <f>IFERROR((I49+J49)*INDEX([1]Sheet1!$A$1:$A$13,MATCH((I49+J49),[1]Sheet1!$B$1:$B$13)),0)</f>
        <v>0</v>
      </c>
      <c r="N49" s="6">
        <f t="shared" si="13"/>
        <v>0</v>
      </c>
      <c r="O49" s="8"/>
      <c r="P49" s="8">
        <f t="shared" si="14"/>
        <v>0</v>
      </c>
      <c r="Q49" s="8">
        <f t="shared" si="15"/>
        <v>0</v>
      </c>
      <c r="R49" s="8">
        <f t="shared" si="16"/>
        <v>0</v>
      </c>
      <c r="S49" s="8">
        <f>IFERROR((O49+P49)*INDEX([1]Sheet1!$A$1:$A$13,MATCH((O49+P49),[1]Sheet1!$B$1:$B$13)),0)</f>
        <v>0</v>
      </c>
      <c r="T49" s="6">
        <f t="shared" si="17"/>
        <v>0</v>
      </c>
      <c r="U49" s="8"/>
      <c r="V49" s="8">
        <f t="shared" si="18"/>
        <v>0</v>
      </c>
      <c r="W49" s="8">
        <f t="shared" si="19"/>
        <v>0</v>
      </c>
      <c r="X49" s="8">
        <f t="shared" si="20"/>
        <v>0</v>
      </c>
      <c r="Y49" s="8">
        <f>IFERROR((U49+V49)*INDEX([1]Sheet1!$A$1:$A$13,MATCH((U49+V49),[1]Sheet1!$B$1:$B$13)),0)</f>
        <v>0</v>
      </c>
      <c r="Z49" s="6">
        <f t="shared" si="21"/>
        <v>0</v>
      </c>
      <c r="AA49" s="8"/>
      <c r="AB49" s="8">
        <f t="shared" si="22"/>
        <v>0</v>
      </c>
      <c r="AC49" s="8">
        <f t="shared" si="23"/>
        <v>0</v>
      </c>
      <c r="AD49" s="8">
        <f t="shared" si="24"/>
        <v>0</v>
      </c>
      <c r="AE49" s="8">
        <f>IFERROR((AA49+AB49)*INDEX([1]Sheet1!$A$1:$A$13,MATCH((AA49+AB49),[1]Sheet1!$B$1:$B$13)),0)</f>
        <v>0</v>
      </c>
      <c r="AF49" s="6">
        <f t="shared" si="25"/>
        <v>0</v>
      </c>
      <c r="AG49" s="8"/>
      <c r="AH49" s="8">
        <f t="shared" si="26"/>
        <v>0</v>
      </c>
      <c r="AI49" s="8">
        <f t="shared" si="27"/>
        <v>0</v>
      </c>
      <c r="AJ49" s="8">
        <f t="shared" si="28"/>
        <v>0</v>
      </c>
      <c r="AK49" s="8">
        <f>IFERROR((AG49+AH49)*INDEX([1]Sheet1!$A$1:$A$13,MATCH((AG49+AH49),[1]Sheet1!$B$1:$B$13)),0)</f>
        <v>0</v>
      </c>
      <c r="AL49" s="6">
        <f t="shared" si="29"/>
        <v>0</v>
      </c>
      <c r="AM49" s="8"/>
      <c r="AN49" s="8">
        <f t="shared" si="30"/>
        <v>0</v>
      </c>
      <c r="AO49" s="8">
        <f t="shared" si="31"/>
        <v>0</v>
      </c>
      <c r="AP49" s="8">
        <f t="shared" si="9"/>
        <v>0</v>
      </c>
      <c r="AQ49" s="8">
        <f>IFERROR((AM49+AN49)*INDEX([1]Sheet1!$A$1:$A$13,MATCH((AM49+AN49),[1]Sheet1!$B$1:$B$13)),0)</f>
        <v>0</v>
      </c>
      <c r="AR49" s="6">
        <f t="shared" si="32"/>
        <v>0</v>
      </c>
      <c r="AS49" s="8"/>
      <c r="AT49" s="8">
        <f t="shared" si="33"/>
        <v>0</v>
      </c>
      <c r="AU49" s="8">
        <f t="shared" si="34"/>
        <v>0</v>
      </c>
      <c r="AV49" s="8">
        <f t="shared" si="10"/>
        <v>0</v>
      </c>
      <c r="AW49" s="8">
        <f>IFERROR((AS49+AT49)*INDEX([1]Sheet1!$A$1:$A$13,MATCH((AS49+AT49),[1]Sheet1!$B$1:$B$13)),0)</f>
        <v>0</v>
      </c>
      <c r="BC49" s="1" t="str">
        <f t="shared" si="35"/>
        <v/>
      </c>
    </row>
    <row r="50" spans="1:55" ht="18" customHeight="1" x14ac:dyDescent="0.2">
      <c r="A50" s="4"/>
      <c r="B50" s="6"/>
      <c r="C50" s="6"/>
      <c r="D50" s="6"/>
      <c r="E50" s="6"/>
      <c r="F50" s="4"/>
      <c r="G50" s="7"/>
      <c r="H50" s="6">
        <f t="shared" si="11"/>
        <v>0</v>
      </c>
      <c r="I50" s="8"/>
      <c r="J50" s="8"/>
      <c r="K50" s="8">
        <f t="shared" si="12"/>
        <v>0</v>
      </c>
      <c r="L50" s="8">
        <f t="shared" si="36"/>
        <v>0</v>
      </c>
      <c r="M50" s="8">
        <f>IFERROR((I50+J50)*INDEX([1]Sheet1!$A$1:$A$13,MATCH((I50+J50),[1]Sheet1!$B$1:$B$13)),0)</f>
        <v>0</v>
      </c>
      <c r="N50" s="6">
        <f t="shared" si="13"/>
        <v>0</v>
      </c>
      <c r="O50" s="8"/>
      <c r="P50" s="8">
        <f t="shared" si="14"/>
        <v>0</v>
      </c>
      <c r="Q50" s="8">
        <f t="shared" si="15"/>
        <v>0</v>
      </c>
      <c r="R50" s="8">
        <f t="shared" si="16"/>
        <v>0</v>
      </c>
      <c r="S50" s="8">
        <f>IFERROR((O50+P50)*INDEX([1]Sheet1!$A$1:$A$13,MATCH((O50+P50),[1]Sheet1!$B$1:$B$13)),0)</f>
        <v>0</v>
      </c>
      <c r="T50" s="6">
        <f t="shared" si="17"/>
        <v>0</v>
      </c>
      <c r="U50" s="8"/>
      <c r="V50" s="8">
        <f t="shared" si="18"/>
        <v>0</v>
      </c>
      <c r="W50" s="8">
        <f t="shared" si="19"/>
        <v>0</v>
      </c>
      <c r="X50" s="8">
        <f t="shared" si="20"/>
        <v>0</v>
      </c>
      <c r="Y50" s="8">
        <f>IFERROR((U50+V50)*INDEX([1]Sheet1!$A$1:$A$13,MATCH((U50+V50),[1]Sheet1!$B$1:$B$13)),0)</f>
        <v>0</v>
      </c>
      <c r="Z50" s="6">
        <f t="shared" si="21"/>
        <v>0</v>
      </c>
      <c r="AA50" s="8"/>
      <c r="AB50" s="8">
        <f t="shared" si="22"/>
        <v>0</v>
      </c>
      <c r="AC50" s="8">
        <f t="shared" si="23"/>
        <v>0</v>
      </c>
      <c r="AD50" s="8">
        <f t="shared" si="24"/>
        <v>0</v>
      </c>
      <c r="AE50" s="8">
        <f>IFERROR((AA50+AB50)*INDEX([1]Sheet1!$A$1:$A$13,MATCH((AA50+AB50),[1]Sheet1!$B$1:$B$13)),0)</f>
        <v>0</v>
      </c>
      <c r="AF50" s="6">
        <f t="shared" si="25"/>
        <v>0</v>
      </c>
      <c r="AG50" s="8"/>
      <c r="AH50" s="8">
        <f t="shared" si="26"/>
        <v>0</v>
      </c>
      <c r="AI50" s="8">
        <f t="shared" si="27"/>
        <v>0</v>
      </c>
      <c r="AJ50" s="8">
        <f t="shared" si="28"/>
        <v>0</v>
      </c>
      <c r="AK50" s="8">
        <f>IFERROR((AG50+AH50)*INDEX([1]Sheet1!$A$1:$A$13,MATCH((AG50+AH50),[1]Sheet1!$B$1:$B$13)),0)</f>
        <v>0</v>
      </c>
      <c r="AL50" s="6">
        <f t="shared" si="29"/>
        <v>0</v>
      </c>
      <c r="AM50" s="8"/>
      <c r="AN50" s="8">
        <f t="shared" si="30"/>
        <v>0</v>
      </c>
      <c r="AO50" s="8">
        <f t="shared" si="31"/>
        <v>0</v>
      </c>
      <c r="AP50" s="8">
        <f t="shared" si="9"/>
        <v>0</v>
      </c>
      <c r="AQ50" s="8">
        <f>IFERROR((AM50+AN50)*INDEX([1]Sheet1!$A$1:$A$13,MATCH((AM50+AN50),[1]Sheet1!$B$1:$B$13)),0)</f>
        <v>0</v>
      </c>
      <c r="AR50" s="6">
        <f t="shared" si="32"/>
        <v>0</v>
      </c>
      <c r="AS50" s="8"/>
      <c r="AT50" s="8">
        <f t="shared" si="33"/>
        <v>0</v>
      </c>
      <c r="AU50" s="8">
        <f t="shared" si="34"/>
        <v>0</v>
      </c>
      <c r="AV50" s="8">
        <f t="shared" si="10"/>
        <v>0</v>
      </c>
      <c r="AW50" s="8">
        <f>IFERROR((AS50+AT50)*INDEX([1]Sheet1!$A$1:$A$13,MATCH((AS50+AT50),[1]Sheet1!$B$1:$B$13)),0)</f>
        <v>0</v>
      </c>
      <c r="BC50" s="1" t="str">
        <f t="shared" si="35"/>
        <v/>
      </c>
    </row>
    <row r="51" spans="1:55" ht="18" customHeight="1" x14ac:dyDescent="0.2">
      <c r="A51" s="4"/>
      <c r="B51" s="6"/>
      <c r="C51" s="6"/>
      <c r="D51" s="6"/>
      <c r="E51" s="6"/>
      <c r="F51" s="4"/>
      <c r="G51" s="7"/>
      <c r="H51" s="6">
        <f t="shared" si="11"/>
        <v>0</v>
      </c>
      <c r="I51" s="8"/>
      <c r="J51" s="8"/>
      <c r="K51" s="8">
        <f t="shared" si="12"/>
        <v>0</v>
      </c>
      <c r="L51" s="8">
        <f t="shared" si="36"/>
        <v>0</v>
      </c>
      <c r="M51" s="8">
        <f>IFERROR((I51+J51)*INDEX([1]Sheet1!$A$1:$A$13,MATCH((I51+J51),[1]Sheet1!$B$1:$B$13)),0)</f>
        <v>0</v>
      </c>
      <c r="N51" s="6">
        <f t="shared" si="13"/>
        <v>0</v>
      </c>
      <c r="O51" s="8"/>
      <c r="P51" s="8">
        <f t="shared" si="14"/>
        <v>0</v>
      </c>
      <c r="Q51" s="8">
        <f t="shared" si="15"/>
        <v>0</v>
      </c>
      <c r="R51" s="8">
        <f t="shared" si="16"/>
        <v>0</v>
      </c>
      <c r="S51" s="8">
        <f>IFERROR((O51+P51)*INDEX([1]Sheet1!$A$1:$A$13,MATCH((O51+P51),[1]Sheet1!$B$1:$B$13)),0)</f>
        <v>0</v>
      </c>
      <c r="T51" s="6">
        <f t="shared" si="17"/>
        <v>0</v>
      </c>
      <c r="U51" s="8"/>
      <c r="V51" s="8">
        <f t="shared" si="18"/>
        <v>0</v>
      </c>
      <c r="W51" s="8">
        <f t="shared" si="19"/>
        <v>0</v>
      </c>
      <c r="X51" s="8">
        <f t="shared" si="20"/>
        <v>0</v>
      </c>
      <c r="Y51" s="8">
        <f>IFERROR((U51+V51)*INDEX([1]Sheet1!$A$1:$A$13,MATCH((U51+V51),[1]Sheet1!$B$1:$B$13)),0)</f>
        <v>0</v>
      </c>
      <c r="Z51" s="6">
        <f t="shared" si="21"/>
        <v>0</v>
      </c>
      <c r="AA51" s="8"/>
      <c r="AB51" s="8">
        <f t="shared" si="22"/>
        <v>0</v>
      </c>
      <c r="AC51" s="8">
        <f t="shared" si="23"/>
        <v>0</v>
      </c>
      <c r="AD51" s="8">
        <f t="shared" si="24"/>
        <v>0</v>
      </c>
      <c r="AE51" s="8">
        <f>IFERROR((AA51+AB51)*INDEX([1]Sheet1!$A$1:$A$13,MATCH((AA51+AB51),[1]Sheet1!$B$1:$B$13)),0)</f>
        <v>0</v>
      </c>
      <c r="AF51" s="6">
        <f t="shared" si="25"/>
        <v>0</v>
      </c>
      <c r="AG51" s="8"/>
      <c r="AH51" s="8">
        <f t="shared" si="26"/>
        <v>0</v>
      </c>
      <c r="AI51" s="8">
        <f t="shared" si="27"/>
        <v>0</v>
      </c>
      <c r="AJ51" s="8">
        <f t="shared" si="28"/>
        <v>0</v>
      </c>
      <c r="AK51" s="8">
        <f>IFERROR((AG51+AH51)*INDEX([1]Sheet1!$A$1:$A$13,MATCH((AG51+AH51),[1]Sheet1!$B$1:$B$13)),0)</f>
        <v>0</v>
      </c>
      <c r="AL51" s="6">
        <f t="shared" si="29"/>
        <v>0</v>
      </c>
      <c r="AM51" s="8"/>
      <c r="AN51" s="8">
        <f t="shared" si="30"/>
        <v>0</v>
      </c>
      <c r="AO51" s="8">
        <f t="shared" si="31"/>
        <v>0</v>
      </c>
      <c r="AP51" s="8">
        <f t="shared" si="9"/>
        <v>0</v>
      </c>
      <c r="AQ51" s="8">
        <f>IFERROR((AM51+AN51)*INDEX([1]Sheet1!$A$1:$A$13,MATCH((AM51+AN51),[1]Sheet1!$B$1:$B$13)),0)</f>
        <v>0</v>
      </c>
      <c r="AR51" s="6">
        <f t="shared" si="32"/>
        <v>0</v>
      </c>
      <c r="AS51" s="8"/>
      <c r="AT51" s="8">
        <f t="shared" si="33"/>
        <v>0</v>
      </c>
      <c r="AU51" s="8">
        <f t="shared" si="34"/>
        <v>0</v>
      </c>
      <c r="AV51" s="8">
        <f t="shared" si="10"/>
        <v>0</v>
      </c>
      <c r="AW51" s="8">
        <f>IFERROR((AS51+AT51)*INDEX([1]Sheet1!$A$1:$A$13,MATCH((AS51+AT51),[1]Sheet1!$B$1:$B$13)),0)</f>
        <v>0</v>
      </c>
      <c r="BC51" s="1" t="str">
        <f t="shared" si="35"/>
        <v/>
      </c>
    </row>
    <row r="52" spans="1:55" ht="18" customHeight="1" x14ac:dyDescent="0.2">
      <c r="A52" s="4"/>
      <c r="B52" s="6"/>
      <c r="C52" s="6"/>
      <c r="D52" s="6"/>
      <c r="E52" s="6"/>
      <c r="F52" s="4"/>
      <c r="G52" s="7"/>
      <c r="H52" s="6">
        <f t="shared" si="11"/>
        <v>0</v>
      </c>
      <c r="I52" s="8"/>
      <c r="J52" s="8"/>
      <c r="K52" s="8">
        <f t="shared" si="12"/>
        <v>0</v>
      </c>
      <c r="L52" s="8">
        <f t="shared" si="36"/>
        <v>0</v>
      </c>
      <c r="M52" s="8">
        <f>IFERROR((I52+J52)*INDEX([1]Sheet1!$A$1:$A$13,MATCH((I52+J52),[1]Sheet1!$B$1:$B$13)),0)</f>
        <v>0</v>
      </c>
      <c r="N52" s="6">
        <f t="shared" si="13"/>
        <v>0</v>
      </c>
      <c r="O52" s="8"/>
      <c r="P52" s="8">
        <f t="shared" si="14"/>
        <v>0</v>
      </c>
      <c r="Q52" s="8">
        <f t="shared" si="15"/>
        <v>0</v>
      </c>
      <c r="R52" s="8">
        <f t="shared" si="16"/>
        <v>0</v>
      </c>
      <c r="S52" s="8">
        <f>IFERROR((O52+P52)*INDEX([1]Sheet1!$A$1:$A$13,MATCH((O52+P52),[1]Sheet1!$B$1:$B$13)),0)</f>
        <v>0</v>
      </c>
      <c r="T52" s="6">
        <f t="shared" si="17"/>
        <v>0</v>
      </c>
      <c r="U52" s="8"/>
      <c r="V52" s="8">
        <f t="shared" si="18"/>
        <v>0</v>
      </c>
      <c r="W52" s="8">
        <f t="shared" si="19"/>
        <v>0</v>
      </c>
      <c r="X52" s="8">
        <f t="shared" si="20"/>
        <v>0</v>
      </c>
      <c r="Y52" s="8">
        <f>IFERROR((U52+V52)*INDEX([1]Sheet1!$A$1:$A$13,MATCH((U52+V52),[1]Sheet1!$B$1:$B$13)),0)</f>
        <v>0</v>
      </c>
      <c r="Z52" s="6">
        <f t="shared" si="21"/>
        <v>0</v>
      </c>
      <c r="AA52" s="8"/>
      <c r="AB52" s="8">
        <f t="shared" si="22"/>
        <v>0</v>
      </c>
      <c r="AC52" s="8">
        <f t="shared" si="23"/>
        <v>0</v>
      </c>
      <c r="AD52" s="8">
        <f t="shared" si="24"/>
        <v>0</v>
      </c>
      <c r="AE52" s="8">
        <f>IFERROR((AA52+AB52)*INDEX([1]Sheet1!$A$1:$A$13,MATCH((AA52+AB52),[1]Sheet1!$B$1:$B$13)),0)</f>
        <v>0</v>
      </c>
      <c r="AF52" s="6">
        <f t="shared" si="25"/>
        <v>0</v>
      </c>
      <c r="AG52" s="8"/>
      <c r="AH52" s="8">
        <f t="shared" si="26"/>
        <v>0</v>
      </c>
      <c r="AI52" s="8">
        <f t="shared" si="27"/>
        <v>0</v>
      </c>
      <c r="AJ52" s="8">
        <f t="shared" si="28"/>
        <v>0</v>
      </c>
      <c r="AK52" s="8">
        <f>IFERROR((AG52+AH52)*INDEX([1]Sheet1!$A$1:$A$13,MATCH((AG52+AH52),[1]Sheet1!$B$1:$B$13)),0)</f>
        <v>0</v>
      </c>
      <c r="AL52" s="6">
        <f t="shared" si="29"/>
        <v>0</v>
      </c>
      <c r="AM52" s="8"/>
      <c r="AN52" s="8">
        <f t="shared" si="30"/>
        <v>0</v>
      </c>
      <c r="AO52" s="8">
        <f t="shared" si="31"/>
        <v>0</v>
      </c>
      <c r="AP52" s="8">
        <f t="shared" si="9"/>
        <v>0</v>
      </c>
      <c r="AQ52" s="8">
        <f>IFERROR((AM52+AN52)*INDEX([1]Sheet1!$A$1:$A$13,MATCH((AM52+AN52),[1]Sheet1!$B$1:$B$13)),0)</f>
        <v>0</v>
      </c>
      <c r="AR52" s="6">
        <f t="shared" si="32"/>
        <v>0</v>
      </c>
      <c r="AS52" s="8"/>
      <c r="AT52" s="8">
        <f t="shared" si="33"/>
        <v>0</v>
      </c>
      <c r="AU52" s="8">
        <f t="shared" si="34"/>
        <v>0</v>
      </c>
      <c r="AV52" s="8">
        <f t="shared" si="10"/>
        <v>0</v>
      </c>
      <c r="AW52" s="8">
        <f>IFERROR((AS52+AT52)*INDEX([1]Sheet1!$A$1:$A$13,MATCH((AS52+AT52),[1]Sheet1!$B$1:$B$13)),0)</f>
        <v>0</v>
      </c>
      <c r="BC52" s="1" t="str">
        <f t="shared" si="35"/>
        <v/>
      </c>
    </row>
    <row r="53" spans="1:55" ht="18" customHeight="1" x14ac:dyDescent="0.2">
      <c r="A53" s="4"/>
      <c r="B53" s="6"/>
      <c r="C53" s="6"/>
      <c r="D53" s="6"/>
      <c r="E53" s="6"/>
      <c r="F53" s="4"/>
      <c r="G53" s="7"/>
      <c r="H53" s="6">
        <f t="shared" si="11"/>
        <v>0</v>
      </c>
      <c r="I53" s="8"/>
      <c r="J53" s="8"/>
      <c r="K53" s="8">
        <f t="shared" si="12"/>
        <v>0</v>
      </c>
      <c r="L53" s="8">
        <f t="shared" si="36"/>
        <v>0</v>
      </c>
      <c r="M53" s="8">
        <f>IFERROR((I53+J53)*INDEX([1]Sheet1!$A$1:$A$13,MATCH((I53+J53),[1]Sheet1!$B$1:$B$13)),0)</f>
        <v>0</v>
      </c>
      <c r="N53" s="6">
        <f t="shared" si="13"/>
        <v>0</v>
      </c>
      <c r="O53" s="8"/>
      <c r="P53" s="8">
        <f t="shared" si="14"/>
        <v>0</v>
      </c>
      <c r="Q53" s="8">
        <f t="shared" si="15"/>
        <v>0</v>
      </c>
      <c r="R53" s="8">
        <f t="shared" si="16"/>
        <v>0</v>
      </c>
      <c r="S53" s="8">
        <f>IFERROR((O53+P53)*INDEX([1]Sheet1!$A$1:$A$13,MATCH((O53+P53),[1]Sheet1!$B$1:$B$13)),0)</f>
        <v>0</v>
      </c>
      <c r="T53" s="6">
        <f t="shared" si="17"/>
        <v>0</v>
      </c>
      <c r="U53" s="8"/>
      <c r="V53" s="8">
        <f t="shared" si="18"/>
        <v>0</v>
      </c>
      <c r="W53" s="8">
        <f t="shared" si="19"/>
        <v>0</v>
      </c>
      <c r="X53" s="8">
        <f t="shared" si="20"/>
        <v>0</v>
      </c>
      <c r="Y53" s="8">
        <f>IFERROR((U53+V53)*INDEX([1]Sheet1!$A$1:$A$13,MATCH((U53+V53),[1]Sheet1!$B$1:$B$13)),0)</f>
        <v>0</v>
      </c>
      <c r="Z53" s="6">
        <f t="shared" si="21"/>
        <v>0</v>
      </c>
      <c r="AA53" s="8"/>
      <c r="AB53" s="8">
        <f t="shared" si="22"/>
        <v>0</v>
      </c>
      <c r="AC53" s="8">
        <f t="shared" si="23"/>
        <v>0</v>
      </c>
      <c r="AD53" s="8">
        <f t="shared" si="24"/>
        <v>0</v>
      </c>
      <c r="AE53" s="8">
        <f>IFERROR((AA53+AB53)*INDEX([1]Sheet1!$A$1:$A$13,MATCH((AA53+AB53),[1]Sheet1!$B$1:$B$13)),0)</f>
        <v>0</v>
      </c>
      <c r="AF53" s="6">
        <f t="shared" si="25"/>
        <v>0</v>
      </c>
      <c r="AG53" s="8"/>
      <c r="AH53" s="8">
        <f t="shared" si="26"/>
        <v>0</v>
      </c>
      <c r="AI53" s="8">
        <f t="shared" si="27"/>
        <v>0</v>
      </c>
      <c r="AJ53" s="8">
        <f t="shared" si="28"/>
        <v>0</v>
      </c>
      <c r="AK53" s="8">
        <f>IFERROR((AG53+AH53)*INDEX([1]Sheet1!$A$1:$A$13,MATCH((AG53+AH53),[1]Sheet1!$B$1:$B$13)),0)</f>
        <v>0</v>
      </c>
      <c r="AL53" s="6">
        <f t="shared" si="29"/>
        <v>0</v>
      </c>
      <c r="AM53" s="8"/>
      <c r="AN53" s="8">
        <f t="shared" si="30"/>
        <v>0</v>
      </c>
      <c r="AO53" s="8">
        <f t="shared" si="31"/>
        <v>0</v>
      </c>
      <c r="AP53" s="8">
        <f t="shared" si="9"/>
        <v>0</v>
      </c>
      <c r="AQ53" s="8">
        <f>IFERROR((AM53+AN53)*INDEX([1]Sheet1!$A$1:$A$13,MATCH((AM53+AN53),[1]Sheet1!$B$1:$B$13)),0)</f>
        <v>0</v>
      </c>
      <c r="AR53" s="6">
        <f t="shared" si="32"/>
        <v>0</v>
      </c>
      <c r="AS53" s="8"/>
      <c r="AT53" s="8">
        <f t="shared" si="33"/>
        <v>0</v>
      </c>
      <c r="AU53" s="8">
        <f t="shared" si="34"/>
        <v>0</v>
      </c>
      <c r="AV53" s="8">
        <f t="shared" si="10"/>
        <v>0</v>
      </c>
      <c r="AW53" s="8">
        <f>IFERROR((AS53+AT53)*INDEX([1]Sheet1!$A$1:$A$13,MATCH((AS53+AT53),[1]Sheet1!$B$1:$B$13)),0)</f>
        <v>0</v>
      </c>
      <c r="BC53" s="1" t="str">
        <f t="shared" si="35"/>
        <v/>
      </c>
    </row>
    <row r="54" spans="1:55" ht="18" customHeight="1" x14ac:dyDescent="0.2">
      <c r="A54" s="4"/>
      <c r="B54" s="9"/>
      <c r="C54" s="6"/>
      <c r="D54" s="6"/>
      <c r="E54" s="6"/>
      <c r="F54" s="4"/>
      <c r="G54" s="7"/>
      <c r="H54" s="6">
        <f t="shared" si="11"/>
        <v>0</v>
      </c>
      <c r="I54" s="8"/>
      <c r="J54" s="8"/>
      <c r="K54" s="8">
        <f t="shared" si="12"/>
        <v>0</v>
      </c>
      <c r="L54" s="8">
        <f t="shared" si="36"/>
        <v>0</v>
      </c>
      <c r="M54" s="8">
        <f>IFERROR((I54+J54)*INDEX([1]Sheet1!$A$1:$A$13,MATCH((I54+J54),[1]Sheet1!$B$1:$B$13)),0)</f>
        <v>0</v>
      </c>
      <c r="N54" s="6">
        <f t="shared" si="13"/>
        <v>0</v>
      </c>
      <c r="O54" s="8"/>
      <c r="P54" s="8">
        <f t="shared" si="14"/>
        <v>0</v>
      </c>
      <c r="Q54" s="8">
        <f t="shared" si="15"/>
        <v>0</v>
      </c>
      <c r="R54" s="8">
        <f t="shared" si="16"/>
        <v>0</v>
      </c>
      <c r="S54" s="8">
        <f>IFERROR((O54+P54)*INDEX([1]Sheet1!$A$1:$A$13,MATCH((O54+P54),[1]Sheet1!$B$1:$B$13)),0)</f>
        <v>0</v>
      </c>
      <c r="T54" s="6">
        <f t="shared" si="17"/>
        <v>0</v>
      </c>
      <c r="U54" s="8"/>
      <c r="V54" s="8">
        <f t="shared" si="18"/>
        <v>0</v>
      </c>
      <c r="W54" s="8">
        <f t="shared" si="19"/>
        <v>0</v>
      </c>
      <c r="X54" s="8">
        <f t="shared" si="20"/>
        <v>0</v>
      </c>
      <c r="Y54" s="8">
        <f>IFERROR((U54+V54)*INDEX([1]Sheet1!$A$1:$A$13,MATCH((U54+V54),[1]Sheet1!$B$1:$B$13)),0)</f>
        <v>0</v>
      </c>
      <c r="Z54" s="6">
        <f t="shared" si="21"/>
        <v>0</v>
      </c>
      <c r="AA54" s="8"/>
      <c r="AB54" s="8">
        <f t="shared" si="22"/>
        <v>0</v>
      </c>
      <c r="AC54" s="8">
        <f t="shared" si="23"/>
        <v>0</v>
      </c>
      <c r="AD54" s="8">
        <f t="shared" si="24"/>
        <v>0</v>
      </c>
      <c r="AE54" s="8">
        <f>IFERROR((AA54+AB54)*INDEX([1]Sheet1!$A$1:$A$13,MATCH((AA54+AB54),[1]Sheet1!$B$1:$B$13)),0)</f>
        <v>0</v>
      </c>
      <c r="AF54" s="6">
        <f t="shared" si="25"/>
        <v>0</v>
      </c>
      <c r="AG54" s="8"/>
      <c r="AH54" s="8">
        <f t="shared" si="26"/>
        <v>0</v>
      </c>
      <c r="AI54" s="8">
        <f t="shared" si="27"/>
        <v>0</v>
      </c>
      <c r="AJ54" s="8">
        <f t="shared" si="28"/>
        <v>0</v>
      </c>
      <c r="AK54" s="8">
        <f>IFERROR((AG54+AH54)*INDEX([1]Sheet1!$A$1:$A$13,MATCH((AG54+AH54),[1]Sheet1!$B$1:$B$13)),0)</f>
        <v>0</v>
      </c>
      <c r="AL54" s="6">
        <f t="shared" si="29"/>
        <v>0</v>
      </c>
      <c r="AM54" s="8"/>
      <c r="AN54" s="8">
        <f t="shared" si="30"/>
        <v>0</v>
      </c>
      <c r="AO54" s="8">
        <f t="shared" si="31"/>
        <v>0</v>
      </c>
      <c r="AP54" s="8">
        <f t="shared" si="9"/>
        <v>0</v>
      </c>
      <c r="AQ54" s="8">
        <f>IFERROR((AM54+AN54)*INDEX([1]Sheet1!$A$1:$A$13,MATCH((AM54+AN54),[1]Sheet1!$B$1:$B$13)),0)</f>
        <v>0</v>
      </c>
      <c r="AR54" s="6">
        <f t="shared" si="32"/>
        <v>0</v>
      </c>
      <c r="AS54" s="8"/>
      <c r="AT54" s="8">
        <f t="shared" si="33"/>
        <v>0</v>
      </c>
      <c r="AU54" s="8">
        <f t="shared" si="34"/>
        <v>0</v>
      </c>
      <c r="AV54" s="8">
        <f t="shared" si="10"/>
        <v>0</v>
      </c>
      <c r="AW54" s="8">
        <f>IFERROR((AS54+AT54)*INDEX([1]Sheet1!$A$1:$A$13,MATCH((AS54+AT54),[1]Sheet1!$B$1:$B$13)),0)</f>
        <v>0</v>
      </c>
      <c r="BC54" s="1" t="str">
        <f t="shared" si="35"/>
        <v/>
      </c>
    </row>
    <row r="55" spans="1:55" ht="18" customHeight="1" x14ac:dyDescent="0.2">
      <c r="A55" s="4"/>
      <c r="B55" s="6"/>
      <c r="C55" s="6"/>
      <c r="D55" s="6"/>
      <c r="E55" s="6"/>
      <c r="F55" s="4"/>
      <c r="G55" s="7"/>
      <c r="H55" s="6">
        <f t="shared" si="11"/>
        <v>0</v>
      </c>
      <c r="I55" s="8"/>
      <c r="J55" s="8"/>
      <c r="K55" s="8">
        <f t="shared" si="12"/>
        <v>0</v>
      </c>
      <c r="L55" s="8">
        <f t="shared" si="36"/>
        <v>0</v>
      </c>
      <c r="M55" s="8">
        <f>IFERROR((I55+J55)*INDEX([1]Sheet1!$A$1:$A$13,MATCH((I55+J55),[1]Sheet1!$B$1:$B$13)),0)</f>
        <v>0</v>
      </c>
      <c r="N55" s="6">
        <f t="shared" si="13"/>
        <v>0</v>
      </c>
      <c r="O55" s="8"/>
      <c r="P55" s="8">
        <f t="shared" si="14"/>
        <v>0</v>
      </c>
      <c r="Q55" s="8">
        <f t="shared" si="15"/>
        <v>0</v>
      </c>
      <c r="R55" s="8">
        <f t="shared" si="16"/>
        <v>0</v>
      </c>
      <c r="S55" s="8">
        <f>IFERROR((O55+P55)*INDEX([1]Sheet1!$A$1:$A$13,MATCH((O55+P55),[1]Sheet1!$B$1:$B$13)),0)</f>
        <v>0</v>
      </c>
      <c r="T55" s="6">
        <f t="shared" si="17"/>
        <v>0</v>
      </c>
      <c r="U55" s="8"/>
      <c r="V55" s="8">
        <f t="shared" si="18"/>
        <v>0</v>
      </c>
      <c r="W55" s="8">
        <f t="shared" si="19"/>
        <v>0</v>
      </c>
      <c r="X55" s="8">
        <f t="shared" si="20"/>
        <v>0</v>
      </c>
      <c r="Y55" s="8">
        <f>IFERROR((U55+V55)*INDEX([1]Sheet1!$A$1:$A$13,MATCH((U55+V55),[1]Sheet1!$B$1:$B$13)),0)</f>
        <v>0</v>
      </c>
      <c r="Z55" s="6">
        <f t="shared" si="21"/>
        <v>0</v>
      </c>
      <c r="AA55" s="8"/>
      <c r="AB55" s="8">
        <f t="shared" si="22"/>
        <v>0</v>
      </c>
      <c r="AC55" s="8">
        <f t="shared" si="23"/>
        <v>0</v>
      </c>
      <c r="AD55" s="8">
        <f t="shared" si="24"/>
        <v>0</v>
      </c>
      <c r="AE55" s="8">
        <f>IFERROR((AA55+AB55)*INDEX([1]Sheet1!$A$1:$A$13,MATCH((AA55+AB55),[1]Sheet1!$B$1:$B$13)),0)</f>
        <v>0</v>
      </c>
      <c r="AF55" s="6">
        <f t="shared" si="25"/>
        <v>0</v>
      </c>
      <c r="AG55" s="8"/>
      <c r="AH55" s="8">
        <f t="shared" si="26"/>
        <v>0</v>
      </c>
      <c r="AI55" s="8">
        <f t="shared" si="27"/>
        <v>0</v>
      </c>
      <c r="AJ55" s="8">
        <f t="shared" si="28"/>
        <v>0</v>
      </c>
      <c r="AK55" s="8">
        <f>IFERROR((AG55+AH55)*INDEX([1]Sheet1!$A$1:$A$13,MATCH((AG55+AH55),[1]Sheet1!$B$1:$B$13)),0)</f>
        <v>0</v>
      </c>
      <c r="AL55" s="6">
        <f t="shared" si="29"/>
        <v>0</v>
      </c>
      <c r="AM55" s="8"/>
      <c r="AN55" s="8">
        <f t="shared" si="30"/>
        <v>0</v>
      </c>
      <c r="AO55" s="8">
        <f t="shared" si="31"/>
        <v>0</v>
      </c>
      <c r="AP55" s="8">
        <f t="shared" si="9"/>
        <v>0</v>
      </c>
      <c r="AQ55" s="8">
        <f>IFERROR((AM55+AN55)*INDEX([1]Sheet1!$A$1:$A$13,MATCH((AM55+AN55),[1]Sheet1!$B$1:$B$13)),0)</f>
        <v>0</v>
      </c>
      <c r="AR55" s="6">
        <f t="shared" si="32"/>
        <v>0</v>
      </c>
      <c r="AS55" s="8"/>
      <c r="AT55" s="8">
        <f t="shared" si="33"/>
        <v>0</v>
      </c>
      <c r="AU55" s="8">
        <f t="shared" si="34"/>
        <v>0</v>
      </c>
      <c r="AV55" s="8">
        <f t="shared" si="10"/>
        <v>0</v>
      </c>
      <c r="AW55" s="8">
        <f>IFERROR((AS55+AT55)*INDEX([1]Sheet1!$A$1:$A$13,MATCH((AS55+AT55),[1]Sheet1!$B$1:$B$13)),0)</f>
        <v>0</v>
      </c>
      <c r="BC55" s="1" t="str">
        <f t="shared" si="35"/>
        <v/>
      </c>
    </row>
    <row r="56" spans="1:55" ht="18" customHeight="1" x14ac:dyDescent="0.2">
      <c r="A56" s="4"/>
      <c r="B56" s="9"/>
      <c r="C56" s="6"/>
      <c r="D56" s="6"/>
      <c r="E56" s="6"/>
      <c r="F56" s="4"/>
      <c r="G56" s="7"/>
      <c r="H56" s="6">
        <f t="shared" si="11"/>
        <v>0</v>
      </c>
      <c r="I56" s="8"/>
      <c r="J56" s="8"/>
      <c r="K56" s="8">
        <f t="shared" si="12"/>
        <v>0</v>
      </c>
      <c r="L56" s="8">
        <f t="shared" si="36"/>
        <v>0</v>
      </c>
      <c r="M56" s="8">
        <f>IFERROR((I56+J56)*INDEX([1]Sheet1!$A$1:$A$13,MATCH((I56+J56),[1]Sheet1!$B$1:$B$13)),0)</f>
        <v>0</v>
      </c>
      <c r="N56" s="6">
        <f t="shared" si="13"/>
        <v>0</v>
      </c>
      <c r="O56" s="8"/>
      <c r="P56" s="8">
        <f t="shared" si="14"/>
        <v>0</v>
      </c>
      <c r="Q56" s="8">
        <f t="shared" si="15"/>
        <v>0</v>
      </c>
      <c r="R56" s="8">
        <f t="shared" si="16"/>
        <v>0</v>
      </c>
      <c r="S56" s="8">
        <f>IFERROR((O56+P56)*INDEX([1]Sheet1!$A$1:$A$13,MATCH((O56+P56),[1]Sheet1!$B$1:$B$13)),0)</f>
        <v>0</v>
      </c>
      <c r="T56" s="6">
        <f t="shared" si="17"/>
        <v>0</v>
      </c>
      <c r="U56" s="8"/>
      <c r="V56" s="8">
        <f t="shared" si="18"/>
        <v>0</v>
      </c>
      <c r="W56" s="8">
        <f t="shared" si="19"/>
        <v>0</v>
      </c>
      <c r="X56" s="8">
        <f t="shared" si="20"/>
        <v>0</v>
      </c>
      <c r="Y56" s="8">
        <f>IFERROR((U56+V56)*INDEX([1]Sheet1!$A$1:$A$13,MATCH((U56+V56),[1]Sheet1!$B$1:$B$13)),0)</f>
        <v>0</v>
      </c>
      <c r="Z56" s="6">
        <f t="shared" si="21"/>
        <v>0</v>
      </c>
      <c r="AA56" s="8"/>
      <c r="AB56" s="8">
        <f t="shared" si="22"/>
        <v>0</v>
      </c>
      <c r="AC56" s="8">
        <f t="shared" si="23"/>
        <v>0</v>
      </c>
      <c r="AD56" s="8">
        <f t="shared" si="24"/>
        <v>0</v>
      </c>
      <c r="AE56" s="8">
        <f>IFERROR((AA56+AB56)*INDEX([1]Sheet1!$A$1:$A$13,MATCH((AA56+AB56),[1]Sheet1!$B$1:$B$13)),0)</f>
        <v>0</v>
      </c>
      <c r="AF56" s="6">
        <f t="shared" si="25"/>
        <v>0</v>
      </c>
      <c r="AG56" s="8"/>
      <c r="AH56" s="8">
        <f t="shared" si="26"/>
        <v>0</v>
      </c>
      <c r="AI56" s="8">
        <f t="shared" si="27"/>
        <v>0</v>
      </c>
      <c r="AJ56" s="8">
        <f t="shared" si="28"/>
        <v>0</v>
      </c>
      <c r="AK56" s="8">
        <f>IFERROR((AG56+AH56)*INDEX([1]Sheet1!$A$1:$A$13,MATCH((AG56+AH56),[1]Sheet1!$B$1:$B$13)),0)</f>
        <v>0</v>
      </c>
      <c r="AL56" s="6">
        <f t="shared" si="29"/>
        <v>0</v>
      </c>
      <c r="AM56" s="8"/>
      <c r="AN56" s="8">
        <f t="shared" si="30"/>
        <v>0</v>
      </c>
      <c r="AO56" s="8">
        <f t="shared" si="31"/>
        <v>0</v>
      </c>
      <c r="AP56" s="8">
        <f t="shared" ref="AP56:AP194" si="37">IF(AO56&gt;0,IF(AO56*$AL$23&lt;2.5,2.5/$AL$23,AO56),0)</f>
        <v>0</v>
      </c>
      <c r="AQ56" s="8">
        <f>IFERROR((AM56+AN56)*INDEX([1]Sheet1!$A$1:$A$13,MATCH((AM56+AN56),[1]Sheet1!$B$1:$B$13)),0)</f>
        <v>0</v>
      </c>
      <c r="AR56" s="6">
        <f t="shared" si="32"/>
        <v>0</v>
      </c>
      <c r="AS56" s="8"/>
      <c r="AT56" s="8">
        <f t="shared" si="33"/>
        <v>0</v>
      </c>
      <c r="AU56" s="8">
        <f t="shared" si="34"/>
        <v>0</v>
      </c>
      <c r="AV56" s="8">
        <f t="shared" ref="AV56:AV194" si="38">IF(AU56&gt;0,IF(AU56*$AR$23&lt;2.5,2.5/$AR$23,AU56),0)</f>
        <v>0</v>
      </c>
      <c r="AW56" s="8">
        <f>IFERROR((AS56+AT56)*INDEX([1]Sheet1!$A$1:$A$13,MATCH((AS56+AT56),[1]Sheet1!$B$1:$B$13)),0)</f>
        <v>0</v>
      </c>
      <c r="BC56" s="1" t="str">
        <f t="shared" si="35"/>
        <v/>
      </c>
    </row>
    <row r="57" spans="1:55" ht="18" customHeight="1" x14ac:dyDescent="0.2">
      <c r="A57" s="4"/>
      <c r="B57" s="6"/>
      <c r="C57" s="6"/>
      <c r="D57" s="6"/>
      <c r="E57" s="6"/>
      <c r="F57" s="4"/>
      <c r="G57" s="7"/>
      <c r="H57" s="6">
        <f t="shared" si="11"/>
        <v>0</v>
      </c>
      <c r="I57" s="8"/>
      <c r="J57" s="8"/>
      <c r="K57" s="8">
        <f t="shared" si="12"/>
        <v>0</v>
      </c>
      <c r="L57" s="8">
        <f t="shared" si="36"/>
        <v>0</v>
      </c>
      <c r="M57" s="8">
        <f>IFERROR((I57+J57)*INDEX([1]Sheet1!$A$1:$A$13,MATCH((I57+J57),[1]Sheet1!$B$1:$B$13)),0)</f>
        <v>0</v>
      </c>
      <c r="N57" s="6">
        <f t="shared" si="13"/>
        <v>0</v>
      </c>
      <c r="O57" s="8"/>
      <c r="P57" s="8">
        <f t="shared" si="14"/>
        <v>0</v>
      </c>
      <c r="Q57" s="8">
        <f t="shared" si="15"/>
        <v>0</v>
      </c>
      <c r="R57" s="8">
        <f t="shared" si="16"/>
        <v>0</v>
      </c>
      <c r="S57" s="8">
        <f>IFERROR((O57+P57)*INDEX([1]Sheet1!$A$1:$A$13,MATCH((O57+P57),[1]Sheet1!$B$1:$B$13)),0)</f>
        <v>0</v>
      </c>
      <c r="T57" s="6">
        <f t="shared" si="17"/>
        <v>0</v>
      </c>
      <c r="U57" s="8"/>
      <c r="V57" s="8">
        <f t="shared" si="18"/>
        <v>0</v>
      </c>
      <c r="W57" s="8">
        <f t="shared" si="19"/>
        <v>0</v>
      </c>
      <c r="X57" s="8">
        <f t="shared" si="20"/>
        <v>0</v>
      </c>
      <c r="Y57" s="8">
        <f>IFERROR((U57+V57)*INDEX([1]Sheet1!$A$1:$A$13,MATCH((U57+V57),[1]Sheet1!$B$1:$B$13)),0)</f>
        <v>0</v>
      </c>
      <c r="Z57" s="6">
        <f t="shared" si="21"/>
        <v>0</v>
      </c>
      <c r="AA57" s="8"/>
      <c r="AB57" s="8">
        <f t="shared" si="22"/>
        <v>0</v>
      </c>
      <c r="AC57" s="8">
        <f t="shared" si="23"/>
        <v>0</v>
      </c>
      <c r="AD57" s="8">
        <f t="shared" si="24"/>
        <v>0</v>
      </c>
      <c r="AE57" s="8">
        <f>IFERROR((AA57+AB57)*INDEX([1]Sheet1!$A$1:$A$13,MATCH((AA57+AB57),[1]Sheet1!$B$1:$B$13)),0)</f>
        <v>0</v>
      </c>
      <c r="AF57" s="6">
        <f t="shared" si="25"/>
        <v>0</v>
      </c>
      <c r="AG57" s="8"/>
      <c r="AH57" s="8">
        <f t="shared" si="26"/>
        <v>0</v>
      </c>
      <c r="AI57" s="8">
        <f t="shared" si="27"/>
        <v>0</v>
      </c>
      <c r="AJ57" s="8">
        <f t="shared" si="28"/>
        <v>0</v>
      </c>
      <c r="AK57" s="8">
        <f>IFERROR((AG57+AH57)*INDEX([1]Sheet1!$A$1:$A$13,MATCH((AG57+AH57),[1]Sheet1!$B$1:$B$13)),0)</f>
        <v>0</v>
      </c>
      <c r="AL57" s="6">
        <f t="shared" si="29"/>
        <v>0</v>
      </c>
      <c r="AM57" s="8"/>
      <c r="AN57" s="8">
        <f t="shared" si="30"/>
        <v>0</v>
      </c>
      <c r="AO57" s="8">
        <f t="shared" si="31"/>
        <v>0</v>
      </c>
      <c r="AP57" s="8">
        <f t="shared" si="37"/>
        <v>0</v>
      </c>
      <c r="AQ57" s="8">
        <f>IFERROR((AM57+AN57)*INDEX([1]Sheet1!$A$1:$A$13,MATCH((AM57+AN57),[1]Sheet1!$B$1:$B$13)),0)</f>
        <v>0</v>
      </c>
      <c r="AR57" s="6">
        <f t="shared" si="32"/>
        <v>0</v>
      </c>
      <c r="AS57" s="8"/>
      <c r="AT57" s="8">
        <f t="shared" si="33"/>
        <v>0</v>
      </c>
      <c r="AU57" s="8">
        <f t="shared" si="34"/>
        <v>0</v>
      </c>
      <c r="AV57" s="8">
        <f t="shared" si="38"/>
        <v>0</v>
      </c>
      <c r="AW57" s="8">
        <f>IFERROR((AS57+AT57)*INDEX([1]Sheet1!$A$1:$A$13,MATCH((AS57+AT57),[1]Sheet1!$B$1:$B$13)),0)</f>
        <v>0</v>
      </c>
      <c r="BC57" s="1" t="str">
        <f t="shared" si="35"/>
        <v/>
      </c>
    </row>
    <row r="58" spans="1:55" ht="18" customHeight="1" x14ac:dyDescent="0.2">
      <c r="A58" s="4"/>
      <c r="B58" s="6"/>
      <c r="C58" s="6"/>
      <c r="D58" s="6"/>
      <c r="E58" s="6"/>
      <c r="F58" s="4"/>
      <c r="G58" s="7"/>
      <c r="H58" s="6">
        <f t="shared" si="11"/>
        <v>0</v>
      </c>
      <c r="I58" s="8"/>
      <c r="J58" s="8"/>
      <c r="K58" s="8">
        <f t="shared" si="12"/>
        <v>0</v>
      </c>
      <c r="L58" s="8">
        <f t="shared" si="36"/>
        <v>0</v>
      </c>
      <c r="M58" s="8">
        <f>IFERROR((I58+J58)*INDEX([1]Sheet1!$A$1:$A$13,MATCH((I58+J58),[1]Sheet1!$B$1:$B$13)),0)</f>
        <v>0</v>
      </c>
      <c r="N58" s="6">
        <f t="shared" si="13"/>
        <v>0</v>
      </c>
      <c r="O58" s="8"/>
      <c r="P58" s="8">
        <f t="shared" si="14"/>
        <v>0</v>
      </c>
      <c r="Q58" s="8">
        <f t="shared" si="15"/>
        <v>0</v>
      </c>
      <c r="R58" s="8">
        <f t="shared" si="16"/>
        <v>0</v>
      </c>
      <c r="S58" s="8">
        <f>IFERROR((O58+P58)*INDEX([1]Sheet1!$A$1:$A$13,MATCH((O58+P58),[1]Sheet1!$B$1:$B$13)),0)</f>
        <v>0</v>
      </c>
      <c r="T58" s="6">
        <f t="shared" si="17"/>
        <v>0</v>
      </c>
      <c r="U58" s="8"/>
      <c r="V58" s="8">
        <f t="shared" si="18"/>
        <v>0</v>
      </c>
      <c r="W58" s="8">
        <f t="shared" si="19"/>
        <v>0</v>
      </c>
      <c r="X58" s="8">
        <f t="shared" si="20"/>
        <v>0</v>
      </c>
      <c r="Y58" s="8">
        <f>IFERROR((U58+V58)*INDEX([1]Sheet1!$A$1:$A$13,MATCH((U58+V58),[1]Sheet1!$B$1:$B$13)),0)</f>
        <v>0</v>
      </c>
      <c r="Z58" s="6">
        <f t="shared" si="21"/>
        <v>0</v>
      </c>
      <c r="AA58" s="8"/>
      <c r="AB58" s="8">
        <f t="shared" si="22"/>
        <v>0</v>
      </c>
      <c r="AC58" s="8">
        <f t="shared" si="23"/>
        <v>0</v>
      </c>
      <c r="AD58" s="8">
        <f t="shared" si="24"/>
        <v>0</v>
      </c>
      <c r="AE58" s="8">
        <f>IFERROR((AA58+AB58)*INDEX([1]Sheet1!$A$1:$A$13,MATCH((AA58+AB58),[1]Sheet1!$B$1:$B$13)),0)</f>
        <v>0</v>
      </c>
      <c r="AF58" s="6">
        <f t="shared" si="25"/>
        <v>0</v>
      </c>
      <c r="AG58" s="8"/>
      <c r="AH58" s="8">
        <f t="shared" si="26"/>
        <v>0</v>
      </c>
      <c r="AI58" s="8">
        <f t="shared" si="27"/>
        <v>0</v>
      </c>
      <c r="AJ58" s="8">
        <f t="shared" si="28"/>
        <v>0</v>
      </c>
      <c r="AK58" s="8">
        <f>IFERROR((AG58+AH58)*INDEX([1]Sheet1!$A$1:$A$13,MATCH((AG58+AH58),[1]Sheet1!$B$1:$B$13)),0)</f>
        <v>0</v>
      </c>
      <c r="AL58" s="6">
        <f t="shared" si="29"/>
        <v>0</v>
      </c>
      <c r="AM58" s="8"/>
      <c r="AN58" s="8">
        <f t="shared" si="30"/>
        <v>0</v>
      </c>
      <c r="AO58" s="8">
        <f t="shared" si="31"/>
        <v>0</v>
      </c>
      <c r="AP58" s="8">
        <f t="shared" si="37"/>
        <v>0</v>
      </c>
      <c r="AQ58" s="8">
        <f>IFERROR((AM58+AN58)*INDEX([1]Sheet1!$A$1:$A$13,MATCH((AM58+AN58),[1]Sheet1!$B$1:$B$13)),0)</f>
        <v>0</v>
      </c>
      <c r="AR58" s="6">
        <f t="shared" si="32"/>
        <v>0</v>
      </c>
      <c r="AS58" s="8"/>
      <c r="AT58" s="8">
        <f t="shared" si="33"/>
        <v>0</v>
      </c>
      <c r="AU58" s="8">
        <f t="shared" si="34"/>
        <v>0</v>
      </c>
      <c r="AV58" s="8">
        <f t="shared" si="38"/>
        <v>0</v>
      </c>
      <c r="AW58" s="8">
        <f>IFERROR((AS58+AT58)*INDEX([1]Sheet1!$A$1:$A$13,MATCH((AS58+AT58),[1]Sheet1!$B$1:$B$13)),0)</f>
        <v>0</v>
      </c>
      <c r="BC58" s="1" t="str">
        <f t="shared" si="35"/>
        <v/>
      </c>
    </row>
    <row r="59" spans="1:55" ht="18" customHeight="1" x14ac:dyDescent="0.2">
      <c r="A59" s="4"/>
      <c r="B59" s="5"/>
      <c r="C59" s="6"/>
      <c r="D59" s="6"/>
      <c r="E59" s="6"/>
      <c r="F59" s="4"/>
      <c r="G59" s="7"/>
      <c r="H59" s="6">
        <f t="shared" si="11"/>
        <v>0</v>
      </c>
      <c r="I59" s="8"/>
      <c r="J59" s="8"/>
      <c r="K59" s="8">
        <f t="shared" si="12"/>
        <v>0</v>
      </c>
      <c r="L59" s="8">
        <f t="shared" si="36"/>
        <v>0</v>
      </c>
      <c r="M59" s="8">
        <f>IFERROR((I59+J59)*INDEX([1]Sheet1!$A$1:$A$13,MATCH((I59+J59),[1]Sheet1!$B$1:$B$13)),0)</f>
        <v>0</v>
      </c>
      <c r="N59" s="6">
        <f t="shared" si="13"/>
        <v>0</v>
      </c>
      <c r="O59" s="8"/>
      <c r="P59" s="8">
        <f t="shared" si="14"/>
        <v>0</v>
      </c>
      <c r="Q59" s="8">
        <f t="shared" si="15"/>
        <v>0</v>
      </c>
      <c r="R59" s="8">
        <f t="shared" si="16"/>
        <v>0</v>
      </c>
      <c r="S59" s="8">
        <f>IFERROR((O59+P59)*INDEX([1]Sheet1!$A$1:$A$13,MATCH((O59+P59),[1]Sheet1!$B$1:$B$13)),0)</f>
        <v>0</v>
      </c>
      <c r="T59" s="6">
        <f t="shared" si="17"/>
        <v>0</v>
      </c>
      <c r="U59" s="8"/>
      <c r="V59" s="8">
        <f t="shared" si="18"/>
        <v>0</v>
      </c>
      <c r="W59" s="8">
        <f t="shared" si="19"/>
        <v>0</v>
      </c>
      <c r="X59" s="8">
        <f t="shared" si="20"/>
        <v>0</v>
      </c>
      <c r="Y59" s="8">
        <f>IFERROR((U59+V59)*INDEX([1]Sheet1!$A$1:$A$13,MATCH((U59+V59),[1]Sheet1!$B$1:$B$13)),0)</f>
        <v>0</v>
      </c>
      <c r="Z59" s="6">
        <f t="shared" si="21"/>
        <v>0</v>
      </c>
      <c r="AA59" s="8"/>
      <c r="AB59" s="8">
        <f t="shared" si="22"/>
        <v>0</v>
      </c>
      <c r="AC59" s="8">
        <f t="shared" si="23"/>
        <v>0</v>
      </c>
      <c r="AD59" s="8">
        <f t="shared" si="24"/>
        <v>0</v>
      </c>
      <c r="AE59" s="8">
        <f>IFERROR((AA59+AB59)*INDEX([1]Sheet1!$A$1:$A$13,MATCH((AA59+AB59),[1]Sheet1!$B$1:$B$13)),0)</f>
        <v>0</v>
      </c>
      <c r="AF59" s="6">
        <f t="shared" si="25"/>
        <v>0</v>
      </c>
      <c r="AG59" s="8"/>
      <c r="AH59" s="8">
        <f t="shared" si="26"/>
        <v>0</v>
      </c>
      <c r="AI59" s="8">
        <f t="shared" si="27"/>
        <v>0</v>
      </c>
      <c r="AJ59" s="8">
        <f t="shared" si="28"/>
        <v>0</v>
      </c>
      <c r="AK59" s="8">
        <f>IFERROR((AG59+AH59)*INDEX([1]Sheet1!$A$1:$A$13,MATCH((AG59+AH59),[1]Sheet1!$B$1:$B$13)),0)</f>
        <v>0</v>
      </c>
      <c r="AL59" s="6">
        <f t="shared" si="29"/>
        <v>0</v>
      </c>
      <c r="AM59" s="8"/>
      <c r="AN59" s="8">
        <f t="shared" si="30"/>
        <v>0</v>
      </c>
      <c r="AO59" s="8">
        <f t="shared" si="31"/>
        <v>0</v>
      </c>
      <c r="AP59" s="8">
        <f t="shared" si="37"/>
        <v>0</v>
      </c>
      <c r="AQ59" s="8">
        <f>IFERROR((AM59+AN59)*INDEX([1]Sheet1!$A$1:$A$13,MATCH((AM59+AN59),[1]Sheet1!$B$1:$B$13)),0)</f>
        <v>0</v>
      </c>
      <c r="AR59" s="6">
        <f t="shared" si="32"/>
        <v>0</v>
      </c>
      <c r="AS59" s="8"/>
      <c r="AT59" s="8">
        <f t="shared" si="33"/>
        <v>0</v>
      </c>
      <c r="AU59" s="8">
        <f t="shared" si="34"/>
        <v>0</v>
      </c>
      <c r="AV59" s="8">
        <f t="shared" si="38"/>
        <v>0</v>
      </c>
      <c r="AW59" s="8">
        <f>IFERROR((AS59+AT59)*INDEX([1]Sheet1!$A$1:$A$13,MATCH((AS59+AT59),[1]Sheet1!$B$1:$B$13)),0)</f>
        <v>0</v>
      </c>
      <c r="BC59" s="1" t="str">
        <f t="shared" si="35"/>
        <v/>
      </c>
    </row>
    <row r="60" spans="1:55" ht="18" customHeight="1" x14ac:dyDescent="0.2">
      <c r="A60" s="4"/>
      <c r="B60" s="5"/>
      <c r="C60" s="6"/>
      <c r="D60" s="6"/>
      <c r="E60" s="6"/>
      <c r="F60" s="4"/>
      <c r="G60" s="7"/>
      <c r="H60" s="6">
        <f t="shared" si="11"/>
        <v>0</v>
      </c>
      <c r="I60" s="8"/>
      <c r="J60" s="8"/>
      <c r="K60" s="8">
        <f t="shared" si="12"/>
        <v>0</v>
      </c>
      <c r="L60" s="8">
        <f t="shared" si="36"/>
        <v>0</v>
      </c>
      <c r="M60" s="8">
        <f>IFERROR((I60+J60)*INDEX([1]Sheet1!$A$1:$A$13,MATCH((I60+J60),[1]Sheet1!$B$1:$B$13)),0)</f>
        <v>0</v>
      </c>
      <c r="N60" s="6">
        <f t="shared" si="13"/>
        <v>0</v>
      </c>
      <c r="O60" s="8"/>
      <c r="P60" s="8">
        <f t="shared" si="14"/>
        <v>0</v>
      </c>
      <c r="Q60" s="8">
        <f t="shared" si="15"/>
        <v>0</v>
      </c>
      <c r="R60" s="8">
        <f t="shared" si="16"/>
        <v>0</v>
      </c>
      <c r="S60" s="8">
        <f>IFERROR((O60+P60)*INDEX([1]Sheet1!$A$1:$A$13,MATCH((O60+P60),[1]Sheet1!$B$1:$B$13)),0)</f>
        <v>0</v>
      </c>
      <c r="T60" s="6">
        <f t="shared" si="17"/>
        <v>0</v>
      </c>
      <c r="U60" s="8"/>
      <c r="V60" s="8">
        <f t="shared" si="18"/>
        <v>0</v>
      </c>
      <c r="W60" s="8">
        <f t="shared" si="19"/>
        <v>0</v>
      </c>
      <c r="X60" s="8">
        <f t="shared" si="20"/>
        <v>0</v>
      </c>
      <c r="Y60" s="8">
        <f>IFERROR((U60+V60)*INDEX([1]Sheet1!$A$1:$A$13,MATCH((U60+V60),[1]Sheet1!$B$1:$B$13)),0)</f>
        <v>0</v>
      </c>
      <c r="Z60" s="6">
        <f t="shared" si="21"/>
        <v>0</v>
      </c>
      <c r="AA60" s="8"/>
      <c r="AB60" s="8">
        <f t="shared" si="22"/>
        <v>0</v>
      </c>
      <c r="AC60" s="8">
        <f t="shared" si="23"/>
        <v>0</v>
      </c>
      <c r="AD60" s="8">
        <f t="shared" si="24"/>
        <v>0</v>
      </c>
      <c r="AE60" s="8">
        <f>IFERROR((AA60+AB60)*INDEX([1]Sheet1!$A$1:$A$13,MATCH((AA60+AB60),[1]Sheet1!$B$1:$B$13)),0)</f>
        <v>0</v>
      </c>
      <c r="AF60" s="6">
        <f t="shared" si="25"/>
        <v>0</v>
      </c>
      <c r="AG60" s="8"/>
      <c r="AH60" s="8">
        <f t="shared" si="26"/>
        <v>0</v>
      </c>
      <c r="AI60" s="8">
        <f t="shared" si="27"/>
        <v>0</v>
      </c>
      <c r="AJ60" s="8">
        <f t="shared" si="28"/>
        <v>0</v>
      </c>
      <c r="AK60" s="8">
        <f>IFERROR((AG60+AH60)*INDEX([1]Sheet1!$A$1:$A$13,MATCH((AG60+AH60),[1]Sheet1!$B$1:$B$13)),0)</f>
        <v>0</v>
      </c>
      <c r="AL60" s="6">
        <f t="shared" si="29"/>
        <v>0</v>
      </c>
      <c r="AM60" s="8"/>
      <c r="AN60" s="8">
        <f t="shared" si="30"/>
        <v>0</v>
      </c>
      <c r="AO60" s="8">
        <f t="shared" si="31"/>
        <v>0</v>
      </c>
      <c r="AP60" s="8">
        <f t="shared" si="37"/>
        <v>0</v>
      </c>
      <c r="AQ60" s="8">
        <f>IFERROR((AM60+AN60)*INDEX([1]Sheet1!$A$1:$A$13,MATCH((AM60+AN60),[1]Sheet1!$B$1:$B$13)),0)</f>
        <v>0</v>
      </c>
      <c r="AR60" s="6">
        <f t="shared" si="32"/>
        <v>0</v>
      </c>
      <c r="AS60" s="8"/>
      <c r="AT60" s="8">
        <f t="shared" si="33"/>
        <v>0</v>
      </c>
      <c r="AU60" s="8">
        <f t="shared" si="34"/>
        <v>0</v>
      </c>
      <c r="AV60" s="8">
        <f t="shared" si="38"/>
        <v>0</v>
      </c>
      <c r="AW60" s="8">
        <f>IFERROR((AS60+AT60)*INDEX([1]Sheet1!$A$1:$A$13,MATCH((AS60+AT60),[1]Sheet1!$B$1:$B$13)),0)</f>
        <v>0</v>
      </c>
      <c r="BC60" s="1" t="str">
        <f t="shared" si="35"/>
        <v/>
      </c>
    </row>
    <row r="61" spans="1:55" ht="18" customHeight="1" x14ac:dyDescent="0.2">
      <c r="A61" s="4"/>
      <c r="B61" s="5"/>
      <c r="C61" s="6"/>
      <c r="D61" s="6"/>
      <c r="E61" s="6"/>
      <c r="F61" s="4"/>
      <c r="G61" s="7"/>
      <c r="H61" s="6">
        <f t="shared" si="11"/>
        <v>0</v>
      </c>
      <c r="I61" s="8"/>
      <c r="J61" s="8"/>
      <c r="K61" s="8">
        <f t="shared" si="12"/>
        <v>0</v>
      </c>
      <c r="L61" s="8">
        <f t="shared" ref="L61:L167" si="39">IF(K61&gt;0,IF(K61*$H$23&lt;2.5,2.5/$H$23,K61),0)</f>
        <v>0</v>
      </c>
      <c r="M61" s="8">
        <f>IFERROR((I61+J61)*INDEX([1]Sheet1!$A$1:$A$13,MATCH((I61+J61),[1]Sheet1!$B$1:$B$13)),0)</f>
        <v>0</v>
      </c>
      <c r="N61" s="6">
        <f t="shared" si="13"/>
        <v>0</v>
      </c>
      <c r="O61" s="8"/>
      <c r="P61" s="8">
        <f t="shared" si="14"/>
        <v>0</v>
      </c>
      <c r="Q61" s="8">
        <f t="shared" si="15"/>
        <v>0</v>
      </c>
      <c r="R61" s="8">
        <f t="shared" ref="R61:R167" si="40">IF(Q61&gt;0,IF(Q61*$N$23&lt;2.5,2.5/$N$23,Q61),0)</f>
        <v>0</v>
      </c>
      <c r="S61" s="8">
        <f>IFERROR((O61+P61)*INDEX([1]Sheet1!$A$1:$A$13,MATCH((O61+P61),[1]Sheet1!$B$1:$B$13)),0)</f>
        <v>0</v>
      </c>
      <c r="T61" s="6">
        <f t="shared" si="17"/>
        <v>0</v>
      </c>
      <c r="U61" s="8"/>
      <c r="V61" s="8">
        <f t="shared" si="18"/>
        <v>0</v>
      </c>
      <c r="W61" s="8">
        <f t="shared" si="19"/>
        <v>0</v>
      </c>
      <c r="X61" s="8">
        <f t="shared" ref="X61:X167" si="41">IF(W61&gt;0,IF(W61*$T$23&lt;2.5,2.5/$T$23,W61),0)</f>
        <v>0</v>
      </c>
      <c r="Y61" s="8">
        <f>IFERROR((U61+V61)*INDEX([1]Sheet1!$A$1:$A$13,MATCH((U61+V61),[1]Sheet1!$B$1:$B$13)),0)</f>
        <v>0</v>
      </c>
      <c r="Z61" s="6">
        <f t="shared" si="21"/>
        <v>0</v>
      </c>
      <c r="AA61" s="8"/>
      <c r="AB61" s="8">
        <f t="shared" si="22"/>
        <v>0</v>
      </c>
      <c r="AC61" s="8">
        <f t="shared" si="23"/>
        <v>0</v>
      </c>
      <c r="AD61" s="8">
        <f t="shared" ref="AD61:AD167" si="42">IF(AC61&gt;0,IF(AC61*$Z$23&lt;2.5,2.5/$Z$23,AC61),0)</f>
        <v>0</v>
      </c>
      <c r="AE61" s="8">
        <f>IFERROR((AA61+AB61)*INDEX([1]Sheet1!$A$1:$A$13,MATCH((AA61+AB61),[1]Sheet1!$B$1:$B$13)),0)</f>
        <v>0</v>
      </c>
      <c r="AF61" s="6">
        <f t="shared" si="25"/>
        <v>0</v>
      </c>
      <c r="AG61" s="8"/>
      <c r="AH61" s="8">
        <f t="shared" si="26"/>
        <v>0</v>
      </c>
      <c r="AI61" s="8">
        <f t="shared" si="27"/>
        <v>0</v>
      </c>
      <c r="AJ61" s="8">
        <f t="shared" ref="AJ61:AJ167" si="43">IF(AI61&gt;0,IF(AI61*$AF$23&lt;2.5,2.5/$AF$23,AI61),0)</f>
        <v>0</v>
      </c>
      <c r="AK61" s="8">
        <f>IFERROR((AG61+AH61)*INDEX([1]Sheet1!$A$1:$A$13,MATCH((AG61+AH61),[1]Sheet1!$B$1:$B$13)),0)</f>
        <v>0</v>
      </c>
      <c r="AL61" s="6">
        <f t="shared" si="29"/>
        <v>0</v>
      </c>
      <c r="AM61" s="8"/>
      <c r="AN61" s="8">
        <f t="shared" si="30"/>
        <v>0</v>
      </c>
      <c r="AO61" s="8">
        <f t="shared" si="31"/>
        <v>0</v>
      </c>
      <c r="AP61" s="8">
        <f t="shared" ref="AP61:AP167" si="44">IF(AO61&gt;0,IF(AO61*$AL$23&lt;2.5,2.5/$AL$23,AO61),0)</f>
        <v>0</v>
      </c>
      <c r="AQ61" s="8">
        <f>IFERROR((AM61+AN61)*INDEX([1]Sheet1!$A$1:$A$13,MATCH((AM61+AN61),[1]Sheet1!$B$1:$B$13)),0)</f>
        <v>0</v>
      </c>
      <c r="AR61" s="6">
        <f t="shared" si="32"/>
        <v>0</v>
      </c>
      <c r="AS61" s="8"/>
      <c r="AT61" s="8">
        <f t="shared" si="33"/>
        <v>0</v>
      </c>
      <c r="AU61" s="8">
        <f t="shared" si="34"/>
        <v>0</v>
      </c>
      <c r="AV61" s="8">
        <f t="shared" ref="AV61:AV167" si="45">IF(AU61&gt;0,IF(AU61*$AR$23&lt;2.5,2.5/$AR$23,AU61),0)</f>
        <v>0</v>
      </c>
      <c r="AW61" s="8">
        <f>IFERROR((AS61+AT61)*INDEX([1]Sheet1!$A$1:$A$13,MATCH((AS61+AT61),[1]Sheet1!$B$1:$B$13)),0)</f>
        <v>0</v>
      </c>
      <c r="BC61" s="1" t="str">
        <f t="shared" si="35"/>
        <v/>
      </c>
    </row>
    <row r="62" spans="1:55" ht="18" customHeight="1" x14ac:dyDescent="0.2">
      <c r="A62" s="4"/>
      <c r="B62" s="5"/>
      <c r="C62" s="6"/>
      <c r="D62" s="6"/>
      <c r="E62" s="6"/>
      <c r="F62" s="4"/>
      <c r="G62" s="7"/>
      <c r="H62" s="6">
        <f t="shared" si="11"/>
        <v>0</v>
      </c>
      <c r="I62" s="8"/>
      <c r="J62" s="8"/>
      <c r="K62" s="8">
        <f t="shared" si="12"/>
        <v>0</v>
      </c>
      <c r="L62" s="8">
        <f t="shared" si="39"/>
        <v>0</v>
      </c>
      <c r="M62" s="8">
        <f>IFERROR((I62+J62)*INDEX([1]Sheet1!$A$1:$A$13,MATCH((I62+J62),[1]Sheet1!$B$1:$B$13)),0)</f>
        <v>0</v>
      </c>
      <c r="N62" s="6">
        <f t="shared" si="13"/>
        <v>0</v>
      </c>
      <c r="O62" s="8"/>
      <c r="P62" s="8">
        <f t="shared" si="14"/>
        <v>0</v>
      </c>
      <c r="Q62" s="8">
        <f t="shared" si="15"/>
        <v>0</v>
      </c>
      <c r="R62" s="8">
        <f t="shared" si="40"/>
        <v>0</v>
      </c>
      <c r="S62" s="8">
        <f>IFERROR((O62+P62)*INDEX([1]Sheet1!$A$1:$A$13,MATCH((O62+P62),[1]Sheet1!$B$1:$B$13)),0)</f>
        <v>0</v>
      </c>
      <c r="T62" s="6">
        <f t="shared" si="17"/>
        <v>0</v>
      </c>
      <c r="U62" s="8"/>
      <c r="V62" s="8">
        <f t="shared" si="18"/>
        <v>0</v>
      </c>
      <c r="W62" s="8">
        <f t="shared" si="19"/>
        <v>0</v>
      </c>
      <c r="X62" s="8">
        <f t="shared" si="41"/>
        <v>0</v>
      </c>
      <c r="Y62" s="8">
        <f>IFERROR((U62+V62)*INDEX([1]Sheet1!$A$1:$A$13,MATCH((U62+V62),[1]Sheet1!$B$1:$B$13)),0)</f>
        <v>0</v>
      </c>
      <c r="Z62" s="6">
        <f t="shared" si="21"/>
        <v>0</v>
      </c>
      <c r="AA62" s="8"/>
      <c r="AB62" s="8">
        <f t="shared" si="22"/>
        <v>0</v>
      </c>
      <c r="AC62" s="8">
        <f t="shared" si="23"/>
        <v>0</v>
      </c>
      <c r="AD62" s="8">
        <f t="shared" si="42"/>
        <v>0</v>
      </c>
      <c r="AE62" s="8">
        <f>IFERROR((AA62+AB62)*INDEX([1]Sheet1!$A$1:$A$13,MATCH((AA62+AB62),[1]Sheet1!$B$1:$B$13)),0)</f>
        <v>0</v>
      </c>
      <c r="AF62" s="6">
        <f t="shared" si="25"/>
        <v>0</v>
      </c>
      <c r="AG62" s="8"/>
      <c r="AH62" s="8">
        <f t="shared" si="26"/>
        <v>0</v>
      </c>
      <c r="AI62" s="8">
        <f t="shared" si="27"/>
        <v>0</v>
      </c>
      <c r="AJ62" s="8">
        <f t="shared" si="43"/>
        <v>0</v>
      </c>
      <c r="AK62" s="8">
        <f>IFERROR((AG62+AH62)*INDEX([1]Sheet1!$A$1:$A$13,MATCH((AG62+AH62),[1]Sheet1!$B$1:$B$13)),0)</f>
        <v>0</v>
      </c>
      <c r="AL62" s="6">
        <f t="shared" si="29"/>
        <v>0</v>
      </c>
      <c r="AM62" s="8"/>
      <c r="AN62" s="8">
        <f t="shared" si="30"/>
        <v>0</v>
      </c>
      <c r="AO62" s="8">
        <f t="shared" si="31"/>
        <v>0</v>
      </c>
      <c r="AP62" s="8">
        <f t="shared" si="44"/>
        <v>0</v>
      </c>
      <c r="AQ62" s="8">
        <f>IFERROR((AM62+AN62)*INDEX([1]Sheet1!$A$1:$A$13,MATCH((AM62+AN62),[1]Sheet1!$B$1:$B$13)),0)</f>
        <v>0</v>
      </c>
      <c r="AR62" s="6">
        <f t="shared" si="32"/>
        <v>0</v>
      </c>
      <c r="AS62" s="8"/>
      <c r="AT62" s="8">
        <f t="shared" si="33"/>
        <v>0</v>
      </c>
      <c r="AU62" s="8">
        <f t="shared" si="34"/>
        <v>0</v>
      </c>
      <c r="AV62" s="8">
        <f t="shared" si="45"/>
        <v>0</v>
      </c>
      <c r="AW62" s="8">
        <f>IFERROR((AS62+AT62)*INDEX([1]Sheet1!$A$1:$A$13,MATCH((AS62+AT62),[1]Sheet1!$B$1:$B$13)),0)</f>
        <v>0</v>
      </c>
      <c r="BC62" s="1" t="str">
        <f t="shared" si="35"/>
        <v/>
      </c>
    </row>
    <row r="63" spans="1:55" ht="18" customHeight="1" x14ac:dyDescent="0.2">
      <c r="A63" s="4"/>
      <c r="B63" s="5"/>
      <c r="C63" s="6"/>
      <c r="D63" s="6"/>
      <c r="E63" s="6"/>
      <c r="F63" s="4"/>
      <c r="G63" s="7"/>
      <c r="H63" s="6">
        <f t="shared" si="11"/>
        <v>0</v>
      </c>
      <c r="I63" s="8"/>
      <c r="J63" s="8"/>
      <c r="K63" s="8">
        <f t="shared" si="12"/>
        <v>0</v>
      </c>
      <c r="L63" s="8">
        <f t="shared" si="39"/>
        <v>0</v>
      </c>
      <c r="M63" s="8">
        <f>IFERROR((I63+J63)*INDEX([1]Sheet1!$A$1:$A$13,MATCH((I63+J63),[1]Sheet1!$B$1:$B$13)),0)</f>
        <v>0</v>
      </c>
      <c r="N63" s="6">
        <f t="shared" si="13"/>
        <v>0</v>
      </c>
      <c r="O63" s="8"/>
      <c r="P63" s="8">
        <f t="shared" si="14"/>
        <v>0</v>
      </c>
      <c r="Q63" s="8">
        <f t="shared" si="15"/>
        <v>0</v>
      </c>
      <c r="R63" s="8">
        <f t="shared" si="40"/>
        <v>0</v>
      </c>
      <c r="S63" s="8">
        <f>IFERROR((O63+P63)*INDEX([1]Sheet1!$A$1:$A$13,MATCH((O63+P63),[1]Sheet1!$B$1:$B$13)),0)</f>
        <v>0</v>
      </c>
      <c r="T63" s="6">
        <f t="shared" si="17"/>
        <v>0</v>
      </c>
      <c r="U63" s="8"/>
      <c r="V63" s="8">
        <f t="shared" si="18"/>
        <v>0</v>
      </c>
      <c r="W63" s="8">
        <f t="shared" si="19"/>
        <v>0</v>
      </c>
      <c r="X63" s="8">
        <f t="shared" si="41"/>
        <v>0</v>
      </c>
      <c r="Y63" s="8">
        <f>IFERROR((U63+V63)*INDEX([1]Sheet1!$A$1:$A$13,MATCH((U63+V63),[1]Sheet1!$B$1:$B$13)),0)</f>
        <v>0</v>
      </c>
      <c r="Z63" s="6">
        <f t="shared" si="21"/>
        <v>0</v>
      </c>
      <c r="AA63" s="8"/>
      <c r="AB63" s="8">
        <f t="shared" si="22"/>
        <v>0</v>
      </c>
      <c r="AC63" s="8">
        <f t="shared" si="23"/>
        <v>0</v>
      </c>
      <c r="AD63" s="8">
        <f t="shared" si="42"/>
        <v>0</v>
      </c>
      <c r="AE63" s="8">
        <f>IFERROR((AA63+AB63)*INDEX([1]Sheet1!$A$1:$A$13,MATCH((AA63+AB63),[1]Sheet1!$B$1:$B$13)),0)</f>
        <v>0</v>
      </c>
      <c r="AF63" s="6">
        <f t="shared" si="25"/>
        <v>0</v>
      </c>
      <c r="AG63" s="8"/>
      <c r="AH63" s="8">
        <f t="shared" si="26"/>
        <v>0</v>
      </c>
      <c r="AI63" s="8">
        <f t="shared" si="27"/>
        <v>0</v>
      </c>
      <c r="AJ63" s="8">
        <f t="shared" si="43"/>
        <v>0</v>
      </c>
      <c r="AK63" s="8">
        <f>IFERROR((AG63+AH63)*INDEX([1]Sheet1!$A$1:$A$13,MATCH((AG63+AH63),[1]Sheet1!$B$1:$B$13)),0)</f>
        <v>0</v>
      </c>
      <c r="AL63" s="6">
        <f t="shared" si="29"/>
        <v>0</v>
      </c>
      <c r="AM63" s="8"/>
      <c r="AN63" s="8">
        <f t="shared" si="30"/>
        <v>0</v>
      </c>
      <c r="AO63" s="8">
        <f t="shared" si="31"/>
        <v>0</v>
      </c>
      <c r="AP63" s="8">
        <f t="shared" si="44"/>
        <v>0</v>
      </c>
      <c r="AQ63" s="8">
        <f>IFERROR((AM63+AN63)*INDEX([1]Sheet1!$A$1:$A$13,MATCH((AM63+AN63),[1]Sheet1!$B$1:$B$13)),0)</f>
        <v>0</v>
      </c>
      <c r="AR63" s="6">
        <f t="shared" si="32"/>
        <v>0</v>
      </c>
      <c r="AS63" s="8"/>
      <c r="AT63" s="8">
        <f t="shared" si="33"/>
        <v>0</v>
      </c>
      <c r="AU63" s="8">
        <f t="shared" si="34"/>
        <v>0</v>
      </c>
      <c r="AV63" s="8">
        <f t="shared" si="45"/>
        <v>0</v>
      </c>
      <c r="AW63" s="8">
        <f>IFERROR((AS63+AT63)*INDEX([1]Sheet1!$A$1:$A$13,MATCH((AS63+AT63),[1]Sheet1!$B$1:$B$13)),0)</f>
        <v>0</v>
      </c>
      <c r="BC63" s="1" t="str">
        <f t="shared" si="35"/>
        <v/>
      </c>
    </row>
    <row r="64" spans="1:55" ht="18" customHeight="1" x14ac:dyDescent="0.2">
      <c r="A64" s="4"/>
      <c r="B64" s="5"/>
      <c r="C64" s="6"/>
      <c r="D64" s="6"/>
      <c r="E64" s="6"/>
      <c r="F64" s="4"/>
      <c r="G64" s="7"/>
      <c r="H64" s="6">
        <f t="shared" si="11"/>
        <v>0</v>
      </c>
      <c r="I64" s="8"/>
      <c r="J64" s="8"/>
      <c r="K64" s="8">
        <f t="shared" si="12"/>
        <v>0</v>
      </c>
      <c r="L64" s="8">
        <f t="shared" si="39"/>
        <v>0</v>
      </c>
      <c r="M64" s="8">
        <f>IFERROR((I64+J64)*INDEX([1]Sheet1!$A$1:$A$13,MATCH((I64+J64),[1]Sheet1!$B$1:$B$13)),0)</f>
        <v>0</v>
      </c>
      <c r="N64" s="6">
        <f t="shared" si="13"/>
        <v>0</v>
      </c>
      <c r="O64" s="8"/>
      <c r="P64" s="8">
        <f t="shared" si="14"/>
        <v>0</v>
      </c>
      <c r="Q64" s="8">
        <f t="shared" si="15"/>
        <v>0</v>
      </c>
      <c r="R64" s="8">
        <f t="shared" si="40"/>
        <v>0</v>
      </c>
      <c r="S64" s="8">
        <f>IFERROR((O64+P64)*INDEX([1]Sheet1!$A$1:$A$13,MATCH((O64+P64),[1]Sheet1!$B$1:$B$13)),0)</f>
        <v>0</v>
      </c>
      <c r="T64" s="6">
        <f t="shared" si="17"/>
        <v>0</v>
      </c>
      <c r="U64" s="8"/>
      <c r="V64" s="8">
        <f t="shared" si="18"/>
        <v>0</v>
      </c>
      <c r="W64" s="8">
        <f t="shared" si="19"/>
        <v>0</v>
      </c>
      <c r="X64" s="8">
        <f t="shared" si="41"/>
        <v>0</v>
      </c>
      <c r="Y64" s="8">
        <f>IFERROR((U64+V64)*INDEX([1]Sheet1!$A$1:$A$13,MATCH((U64+V64),[1]Sheet1!$B$1:$B$13)),0)</f>
        <v>0</v>
      </c>
      <c r="Z64" s="6">
        <f t="shared" si="21"/>
        <v>0</v>
      </c>
      <c r="AA64" s="8"/>
      <c r="AB64" s="8">
        <f t="shared" si="22"/>
        <v>0</v>
      </c>
      <c r="AC64" s="8">
        <f t="shared" si="23"/>
        <v>0</v>
      </c>
      <c r="AD64" s="8">
        <f t="shared" si="42"/>
        <v>0</v>
      </c>
      <c r="AE64" s="8">
        <f>IFERROR((AA64+AB64)*INDEX([1]Sheet1!$A$1:$A$13,MATCH((AA64+AB64),[1]Sheet1!$B$1:$B$13)),0)</f>
        <v>0</v>
      </c>
      <c r="AF64" s="6">
        <f t="shared" si="25"/>
        <v>0</v>
      </c>
      <c r="AG64" s="8"/>
      <c r="AH64" s="8">
        <f t="shared" si="26"/>
        <v>0</v>
      </c>
      <c r="AI64" s="8">
        <f t="shared" si="27"/>
        <v>0</v>
      </c>
      <c r="AJ64" s="8">
        <f t="shared" si="43"/>
        <v>0</v>
      </c>
      <c r="AK64" s="8">
        <f>IFERROR((AG64+AH64)*INDEX([1]Sheet1!$A$1:$A$13,MATCH((AG64+AH64),[1]Sheet1!$B$1:$B$13)),0)</f>
        <v>0</v>
      </c>
      <c r="AL64" s="6">
        <f t="shared" si="29"/>
        <v>0</v>
      </c>
      <c r="AM64" s="8"/>
      <c r="AN64" s="8">
        <f t="shared" si="30"/>
        <v>0</v>
      </c>
      <c r="AO64" s="8">
        <f t="shared" si="31"/>
        <v>0</v>
      </c>
      <c r="AP64" s="8">
        <f t="shared" si="44"/>
        <v>0</v>
      </c>
      <c r="AQ64" s="8">
        <f>IFERROR((AM64+AN64)*INDEX([1]Sheet1!$A$1:$A$13,MATCH((AM64+AN64),[1]Sheet1!$B$1:$B$13)),0)</f>
        <v>0</v>
      </c>
      <c r="AR64" s="6">
        <f t="shared" si="32"/>
        <v>0</v>
      </c>
      <c r="AS64" s="8"/>
      <c r="AT64" s="8">
        <f t="shared" si="33"/>
        <v>0</v>
      </c>
      <c r="AU64" s="8">
        <f t="shared" si="34"/>
        <v>0</v>
      </c>
      <c r="AV64" s="8">
        <f t="shared" si="45"/>
        <v>0</v>
      </c>
      <c r="AW64" s="8">
        <f>IFERROR((AS64+AT64)*INDEX([1]Sheet1!$A$1:$A$13,MATCH((AS64+AT64),[1]Sheet1!$B$1:$B$13)),0)</f>
        <v>0</v>
      </c>
      <c r="BC64" s="1" t="str">
        <f t="shared" si="35"/>
        <v/>
      </c>
    </row>
    <row r="65" spans="1:55" ht="18" customHeight="1" x14ac:dyDescent="0.2">
      <c r="A65" s="4"/>
      <c r="B65" s="5"/>
      <c r="C65" s="6"/>
      <c r="D65" s="6"/>
      <c r="E65" s="6"/>
      <c r="F65" s="4"/>
      <c r="G65" s="7"/>
      <c r="H65" s="6">
        <f t="shared" si="11"/>
        <v>0</v>
      </c>
      <c r="I65" s="8"/>
      <c r="J65" s="8"/>
      <c r="K65" s="8">
        <f t="shared" si="12"/>
        <v>0</v>
      </c>
      <c r="L65" s="8">
        <f t="shared" si="39"/>
        <v>0</v>
      </c>
      <c r="M65" s="8">
        <f>IFERROR((I65+J65)*INDEX([1]Sheet1!$A$1:$A$13,MATCH((I65+J65),[1]Sheet1!$B$1:$B$13)),0)</f>
        <v>0</v>
      </c>
      <c r="N65" s="6">
        <f t="shared" si="13"/>
        <v>0</v>
      </c>
      <c r="O65" s="8"/>
      <c r="P65" s="8">
        <f t="shared" si="14"/>
        <v>0</v>
      </c>
      <c r="Q65" s="8">
        <f t="shared" si="15"/>
        <v>0</v>
      </c>
      <c r="R65" s="8">
        <f t="shared" si="40"/>
        <v>0</v>
      </c>
      <c r="S65" s="8">
        <f>IFERROR((O65+P65)*INDEX([1]Sheet1!$A$1:$A$13,MATCH((O65+P65),[1]Sheet1!$B$1:$B$13)),0)</f>
        <v>0</v>
      </c>
      <c r="T65" s="6">
        <f t="shared" si="17"/>
        <v>0</v>
      </c>
      <c r="U65" s="8"/>
      <c r="V65" s="8">
        <f t="shared" si="18"/>
        <v>0</v>
      </c>
      <c r="W65" s="8">
        <f t="shared" si="19"/>
        <v>0</v>
      </c>
      <c r="X65" s="8">
        <f t="shared" si="41"/>
        <v>0</v>
      </c>
      <c r="Y65" s="8">
        <f>IFERROR((U65+V65)*INDEX([1]Sheet1!$A$1:$A$13,MATCH((U65+V65),[1]Sheet1!$B$1:$B$13)),0)</f>
        <v>0</v>
      </c>
      <c r="Z65" s="6">
        <f t="shared" si="21"/>
        <v>0</v>
      </c>
      <c r="AA65" s="8"/>
      <c r="AB65" s="8">
        <f t="shared" si="22"/>
        <v>0</v>
      </c>
      <c r="AC65" s="8">
        <f t="shared" si="23"/>
        <v>0</v>
      </c>
      <c r="AD65" s="8">
        <f t="shared" si="42"/>
        <v>0</v>
      </c>
      <c r="AE65" s="8">
        <f>IFERROR((AA65+AB65)*INDEX([1]Sheet1!$A$1:$A$13,MATCH((AA65+AB65),[1]Sheet1!$B$1:$B$13)),0)</f>
        <v>0</v>
      </c>
      <c r="AF65" s="6">
        <f t="shared" si="25"/>
        <v>0</v>
      </c>
      <c r="AG65" s="8"/>
      <c r="AH65" s="8">
        <f t="shared" si="26"/>
        <v>0</v>
      </c>
      <c r="AI65" s="8">
        <f t="shared" si="27"/>
        <v>0</v>
      </c>
      <c r="AJ65" s="8">
        <f t="shared" si="43"/>
        <v>0</v>
      </c>
      <c r="AK65" s="8">
        <f>IFERROR((AG65+AH65)*INDEX([1]Sheet1!$A$1:$A$13,MATCH((AG65+AH65),[1]Sheet1!$B$1:$B$13)),0)</f>
        <v>0</v>
      </c>
      <c r="AL65" s="6">
        <f t="shared" si="29"/>
        <v>0</v>
      </c>
      <c r="AM65" s="8"/>
      <c r="AN65" s="8">
        <f t="shared" si="30"/>
        <v>0</v>
      </c>
      <c r="AO65" s="8">
        <f t="shared" si="31"/>
        <v>0</v>
      </c>
      <c r="AP65" s="8">
        <f t="shared" si="44"/>
        <v>0</v>
      </c>
      <c r="AQ65" s="8">
        <f>IFERROR((AM65+AN65)*INDEX([1]Sheet1!$A$1:$A$13,MATCH((AM65+AN65),[1]Sheet1!$B$1:$B$13)),0)</f>
        <v>0</v>
      </c>
      <c r="AR65" s="6">
        <f t="shared" si="32"/>
        <v>0</v>
      </c>
      <c r="AS65" s="8"/>
      <c r="AT65" s="8">
        <f t="shared" si="33"/>
        <v>0</v>
      </c>
      <c r="AU65" s="8">
        <f t="shared" si="34"/>
        <v>0</v>
      </c>
      <c r="AV65" s="8">
        <f t="shared" si="45"/>
        <v>0</v>
      </c>
      <c r="AW65" s="8">
        <f>IFERROR((AS65+AT65)*INDEX([1]Sheet1!$A$1:$A$13,MATCH((AS65+AT65),[1]Sheet1!$B$1:$B$13)),0)</f>
        <v>0</v>
      </c>
      <c r="BC65" s="1" t="str">
        <f t="shared" si="35"/>
        <v/>
      </c>
    </row>
    <row r="66" spans="1:55" ht="18" customHeight="1" x14ac:dyDescent="0.2">
      <c r="A66" s="4"/>
      <c r="B66" s="9"/>
      <c r="C66" s="6"/>
      <c r="D66" s="6"/>
      <c r="E66" s="6"/>
      <c r="F66" s="4"/>
      <c r="G66" s="7"/>
      <c r="H66" s="6">
        <f t="shared" si="11"/>
        <v>0</v>
      </c>
      <c r="I66" s="8"/>
      <c r="J66" s="8"/>
      <c r="K66" s="8">
        <f t="shared" si="12"/>
        <v>0</v>
      </c>
      <c r="L66" s="8">
        <f t="shared" si="39"/>
        <v>0</v>
      </c>
      <c r="M66" s="8">
        <f>IFERROR((I66+J66)*INDEX([1]Sheet1!$A$1:$A$13,MATCH((I66+J66),[1]Sheet1!$B$1:$B$13)),0)</f>
        <v>0</v>
      </c>
      <c r="N66" s="6">
        <f t="shared" si="13"/>
        <v>0</v>
      </c>
      <c r="O66" s="8"/>
      <c r="P66" s="8">
        <f t="shared" si="14"/>
        <v>0</v>
      </c>
      <c r="Q66" s="8">
        <f t="shared" si="15"/>
        <v>0</v>
      </c>
      <c r="R66" s="8">
        <f t="shared" si="40"/>
        <v>0</v>
      </c>
      <c r="S66" s="8">
        <f>IFERROR((O66+P66)*INDEX([1]Sheet1!$A$1:$A$13,MATCH((O66+P66),[1]Sheet1!$B$1:$B$13)),0)</f>
        <v>0</v>
      </c>
      <c r="T66" s="6">
        <f t="shared" si="17"/>
        <v>0</v>
      </c>
      <c r="U66" s="8"/>
      <c r="V66" s="8">
        <f t="shared" si="18"/>
        <v>0</v>
      </c>
      <c r="W66" s="8">
        <f t="shared" si="19"/>
        <v>0</v>
      </c>
      <c r="X66" s="8">
        <f t="shared" si="41"/>
        <v>0</v>
      </c>
      <c r="Y66" s="8">
        <f>IFERROR((U66+V66)*INDEX([1]Sheet1!$A$1:$A$13,MATCH((U66+V66),[1]Sheet1!$B$1:$B$13)),0)</f>
        <v>0</v>
      </c>
      <c r="Z66" s="6">
        <f t="shared" si="21"/>
        <v>0</v>
      </c>
      <c r="AA66" s="8"/>
      <c r="AB66" s="8">
        <f t="shared" si="22"/>
        <v>0</v>
      </c>
      <c r="AC66" s="8">
        <f t="shared" si="23"/>
        <v>0</v>
      </c>
      <c r="AD66" s="8">
        <f t="shared" si="42"/>
        <v>0</v>
      </c>
      <c r="AE66" s="8">
        <f>IFERROR((AA66+AB66)*INDEX([1]Sheet1!$A$1:$A$13,MATCH((AA66+AB66),[1]Sheet1!$B$1:$B$13)),0)</f>
        <v>0</v>
      </c>
      <c r="AF66" s="6">
        <f t="shared" si="25"/>
        <v>0</v>
      </c>
      <c r="AG66" s="8"/>
      <c r="AH66" s="8">
        <f t="shared" si="26"/>
        <v>0</v>
      </c>
      <c r="AI66" s="8">
        <f t="shared" si="27"/>
        <v>0</v>
      </c>
      <c r="AJ66" s="8">
        <f t="shared" si="43"/>
        <v>0</v>
      </c>
      <c r="AK66" s="8">
        <f>IFERROR((AG66+AH66)*INDEX([1]Sheet1!$A$1:$A$13,MATCH((AG66+AH66),[1]Sheet1!$B$1:$B$13)),0)</f>
        <v>0</v>
      </c>
      <c r="AL66" s="6">
        <f t="shared" si="29"/>
        <v>0</v>
      </c>
      <c r="AM66" s="8"/>
      <c r="AN66" s="8">
        <f t="shared" si="30"/>
        <v>0</v>
      </c>
      <c r="AO66" s="8">
        <f t="shared" si="31"/>
        <v>0</v>
      </c>
      <c r="AP66" s="8">
        <f t="shared" si="44"/>
        <v>0</v>
      </c>
      <c r="AQ66" s="8">
        <f>IFERROR((AM66+AN66)*INDEX([1]Sheet1!$A$1:$A$13,MATCH((AM66+AN66),[1]Sheet1!$B$1:$B$13)),0)</f>
        <v>0</v>
      </c>
      <c r="AR66" s="6">
        <f t="shared" si="32"/>
        <v>0</v>
      </c>
      <c r="AS66" s="8"/>
      <c r="AT66" s="8">
        <f t="shared" si="33"/>
        <v>0</v>
      </c>
      <c r="AU66" s="8">
        <f t="shared" si="34"/>
        <v>0</v>
      </c>
      <c r="AV66" s="8">
        <f t="shared" si="45"/>
        <v>0</v>
      </c>
      <c r="AW66" s="8">
        <f>IFERROR((AS66+AT66)*INDEX([1]Sheet1!$A$1:$A$13,MATCH((AS66+AT66),[1]Sheet1!$B$1:$B$13)),0)</f>
        <v>0</v>
      </c>
      <c r="BC66" s="1" t="str">
        <f t="shared" si="35"/>
        <v/>
      </c>
    </row>
    <row r="67" spans="1:55" ht="18" customHeight="1" x14ac:dyDescent="0.2">
      <c r="A67" s="4"/>
      <c r="B67" s="9"/>
      <c r="C67" s="6"/>
      <c r="D67" s="6"/>
      <c r="E67" s="6"/>
      <c r="F67" s="4"/>
      <c r="G67" s="6"/>
      <c r="H67" s="6">
        <f t="shared" si="11"/>
        <v>0</v>
      </c>
      <c r="I67" s="8"/>
      <c r="J67" s="8"/>
      <c r="K67" s="8">
        <f t="shared" si="12"/>
        <v>0</v>
      </c>
      <c r="L67" s="8">
        <f t="shared" si="39"/>
        <v>0</v>
      </c>
      <c r="M67" s="8">
        <f>IFERROR((I67+J67)*INDEX([1]Sheet1!$A$1:$A$13,MATCH((I67+J67),[1]Sheet1!$B$1:$B$13)),0)</f>
        <v>0</v>
      </c>
      <c r="N67" s="6">
        <f t="shared" si="13"/>
        <v>0</v>
      </c>
      <c r="O67" s="8"/>
      <c r="P67" s="8">
        <f t="shared" si="14"/>
        <v>0</v>
      </c>
      <c r="Q67" s="8">
        <f t="shared" si="15"/>
        <v>0</v>
      </c>
      <c r="R67" s="8">
        <f t="shared" si="40"/>
        <v>0</v>
      </c>
      <c r="S67" s="8">
        <f>IFERROR((O67+P67)*INDEX([1]Sheet1!$A$1:$A$13,MATCH((O67+P67),[1]Sheet1!$B$1:$B$13)),0)</f>
        <v>0</v>
      </c>
      <c r="T67" s="6">
        <f t="shared" si="17"/>
        <v>0</v>
      </c>
      <c r="U67" s="8"/>
      <c r="V67" s="8">
        <f t="shared" si="18"/>
        <v>0</v>
      </c>
      <c r="W67" s="8">
        <f t="shared" si="19"/>
        <v>0</v>
      </c>
      <c r="X67" s="8">
        <f t="shared" si="41"/>
        <v>0</v>
      </c>
      <c r="Y67" s="8">
        <f>IFERROR((U67+V67)*INDEX([1]Sheet1!$A$1:$A$13,MATCH((U67+V67),[1]Sheet1!$B$1:$B$13)),0)</f>
        <v>0</v>
      </c>
      <c r="Z67" s="6">
        <f t="shared" si="21"/>
        <v>0</v>
      </c>
      <c r="AA67" s="8"/>
      <c r="AB67" s="8">
        <f t="shared" si="22"/>
        <v>0</v>
      </c>
      <c r="AC67" s="8">
        <f t="shared" si="23"/>
        <v>0</v>
      </c>
      <c r="AD67" s="8">
        <f t="shared" si="42"/>
        <v>0</v>
      </c>
      <c r="AE67" s="8">
        <f>IFERROR((AA67+AB67)*INDEX([1]Sheet1!$A$1:$A$13,MATCH((AA67+AB67),[1]Sheet1!$B$1:$B$13)),0)</f>
        <v>0</v>
      </c>
      <c r="AF67" s="6">
        <f t="shared" si="25"/>
        <v>0</v>
      </c>
      <c r="AG67" s="8"/>
      <c r="AH67" s="8">
        <f t="shared" si="26"/>
        <v>0</v>
      </c>
      <c r="AI67" s="8">
        <f t="shared" si="27"/>
        <v>0</v>
      </c>
      <c r="AJ67" s="8">
        <f t="shared" si="43"/>
        <v>0</v>
      </c>
      <c r="AK67" s="8">
        <f>IFERROR((AG67+AH67)*INDEX([1]Sheet1!$A$1:$A$13,MATCH((AG67+AH67),[1]Sheet1!$B$1:$B$13)),0)</f>
        <v>0</v>
      </c>
      <c r="AL67" s="6">
        <f t="shared" si="29"/>
        <v>0</v>
      </c>
      <c r="AM67" s="8"/>
      <c r="AN67" s="8">
        <f t="shared" si="30"/>
        <v>0</v>
      </c>
      <c r="AO67" s="8">
        <f t="shared" si="31"/>
        <v>0</v>
      </c>
      <c r="AP67" s="8">
        <f t="shared" si="44"/>
        <v>0</v>
      </c>
      <c r="AQ67" s="8">
        <f>IFERROR((AM67+AN67)*INDEX([1]Sheet1!$A$1:$A$13,MATCH((AM67+AN67),[1]Sheet1!$B$1:$B$13)),0)</f>
        <v>0</v>
      </c>
      <c r="AR67" s="6">
        <f t="shared" si="32"/>
        <v>0</v>
      </c>
      <c r="AS67" s="8"/>
      <c r="AT67" s="8">
        <f t="shared" si="33"/>
        <v>0</v>
      </c>
      <c r="AU67" s="8">
        <f t="shared" si="34"/>
        <v>0</v>
      </c>
      <c r="AV67" s="8">
        <f t="shared" si="45"/>
        <v>0</v>
      </c>
      <c r="AW67" s="8">
        <f>IFERROR((AS67+AT67)*INDEX([1]Sheet1!$A$1:$A$13,MATCH((AS67+AT67),[1]Sheet1!$B$1:$B$13)),0)</f>
        <v>0</v>
      </c>
      <c r="BC67" s="1" t="str">
        <f t="shared" si="35"/>
        <v/>
      </c>
    </row>
    <row r="68" spans="1:55" ht="18" customHeight="1" x14ac:dyDescent="0.2">
      <c r="A68" s="4"/>
      <c r="B68" s="5"/>
      <c r="C68" s="6"/>
      <c r="D68" s="6"/>
      <c r="E68" s="6"/>
      <c r="F68" s="4"/>
      <c r="G68" s="6"/>
      <c r="H68" s="6">
        <f t="shared" si="11"/>
        <v>0</v>
      </c>
      <c r="I68" s="8"/>
      <c r="J68" s="8"/>
      <c r="K68" s="8">
        <f t="shared" si="12"/>
        <v>0</v>
      </c>
      <c r="L68" s="8">
        <f t="shared" si="39"/>
        <v>0</v>
      </c>
      <c r="M68" s="8">
        <f>IFERROR((I68+J68)*INDEX([1]Sheet1!$A$1:$A$13,MATCH((I68+J68),[1]Sheet1!$B$1:$B$13)),0)</f>
        <v>0</v>
      </c>
      <c r="N68" s="6">
        <f t="shared" si="13"/>
        <v>0</v>
      </c>
      <c r="O68" s="8"/>
      <c r="P68" s="8">
        <f t="shared" si="14"/>
        <v>0</v>
      </c>
      <c r="Q68" s="8">
        <f t="shared" si="15"/>
        <v>0</v>
      </c>
      <c r="R68" s="8">
        <f t="shared" si="40"/>
        <v>0</v>
      </c>
      <c r="S68" s="8">
        <f>IFERROR((O68+P68)*INDEX([1]Sheet1!$A$1:$A$13,MATCH((O68+P68),[1]Sheet1!$B$1:$B$13)),0)</f>
        <v>0</v>
      </c>
      <c r="T68" s="6">
        <f t="shared" si="17"/>
        <v>0</v>
      </c>
      <c r="U68" s="8"/>
      <c r="V68" s="8">
        <f t="shared" si="18"/>
        <v>0</v>
      </c>
      <c r="W68" s="8">
        <f t="shared" si="19"/>
        <v>0</v>
      </c>
      <c r="X68" s="8">
        <f t="shared" si="41"/>
        <v>0</v>
      </c>
      <c r="Y68" s="8">
        <f>IFERROR((U68+V68)*INDEX([1]Sheet1!$A$1:$A$13,MATCH((U68+V68),[1]Sheet1!$B$1:$B$13)),0)</f>
        <v>0</v>
      </c>
      <c r="Z68" s="6">
        <f t="shared" si="21"/>
        <v>0</v>
      </c>
      <c r="AA68" s="8"/>
      <c r="AB68" s="8">
        <f t="shared" si="22"/>
        <v>0</v>
      </c>
      <c r="AC68" s="8">
        <f t="shared" si="23"/>
        <v>0</v>
      </c>
      <c r="AD68" s="8">
        <f t="shared" si="42"/>
        <v>0</v>
      </c>
      <c r="AE68" s="8">
        <f>IFERROR((AA68+AB68)*INDEX([1]Sheet1!$A$1:$A$13,MATCH((AA68+AB68),[1]Sheet1!$B$1:$B$13)),0)</f>
        <v>0</v>
      </c>
      <c r="AF68" s="6">
        <f t="shared" si="25"/>
        <v>0</v>
      </c>
      <c r="AG68" s="8"/>
      <c r="AH68" s="8">
        <f t="shared" si="26"/>
        <v>0</v>
      </c>
      <c r="AI68" s="8">
        <f t="shared" si="27"/>
        <v>0</v>
      </c>
      <c r="AJ68" s="8">
        <f t="shared" si="43"/>
        <v>0</v>
      </c>
      <c r="AK68" s="8">
        <f>IFERROR((AG68+AH68)*INDEX([1]Sheet1!$A$1:$A$13,MATCH((AG68+AH68),[1]Sheet1!$B$1:$B$13)),0)</f>
        <v>0</v>
      </c>
      <c r="AL68" s="6">
        <f t="shared" si="29"/>
        <v>0</v>
      </c>
      <c r="AM68" s="8"/>
      <c r="AN68" s="8">
        <f t="shared" si="30"/>
        <v>0</v>
      </c>
      <c r="AO68" s="8">
        <f t="shared" si="31"/>
        <v>0</v>
      </c>
      <c r="AP68" s="8">
        <f t="shared" si="44"/>
        <v>0</v>
      </c>
      <c r="AQ68" s="8">
        <f>IFERROR((AM68+AN68)*INDEX([1]Sheet1!$A$1:$A$13,MATCH((AM68+AN68),[1]Sheet1!$B$1:$B$13)),0)</f>
        <v>0</v>
      </c>
      <c r="AR68" s="6">
        <f t="shared" si="32"/>
        <v>0</v>
      </c>
      <c r="AS68" s="8"/>
      <c r="AT68" s="8">
        <f t="shared" si="33"/>
        <v>0</v>
      </c>
      <c r="AU68" s="8">
        <f t="shared" si="34"/>
        <v>0</v>
      </c>
      <c r="AV68" s="8">
        <f t="shared" si="45"/>
        <v>0</v>
      </c>
      <c r="AW68" s="8">
        <f>IFERROR((AS68+AT68)*INDEX([1]Sheet1!$A$1:$A$13,MATCH((AS68+AT68),[1]Sheet1!$B$1:$B$13)),0)</f>
        <v>0</v>
      </c>
      <c r="BC68" s="1" t="str">
        <f t="shared" si="35"/>
        <v/>
      </c>
    </row>
    <row r="69" spans="1:55" ht="18" customHeight="1" x14ac:dyDescent="0.2">
      <c r="A69" s="4"/>
      <c r="B69" s="5"/>
      <c r="C69" s="6"/>
      <c r="D69" s="6"/>
      <c r="E69" s="6"/>
      <c r="F69" s="4"/>
      <c r="G69" s="6"/>
      <c r="H69" s="6">
        <f t="shared" si="11"/>
        <v>0</v>
      </c>
      <c r="I69" s="8"/>
      <c r="J69" s="8"/>
      <c r="K69" s="8">
        <f t="shared" si="12"/>
        <v>0</v>
      </c>
      <c r="L69" s="8">
        <f t="shared" si="39"/>
        <v>0</v>
      </c>
      <c r="M69" s="8">
        <f>IFERROR((I69+J69)*INDEX([1]Sheet1!$A$1:$A$13,MATCH((I69+J69),[1]Sheet1!$B$1:$B$13)),0)</f>
        <v>0</v>
      </c>
      <c r="N69" s="6">
        <f t="shared" si="13"/>
        <v>0</v>
      </c>
      <c r="O69" s="8"/>
      <c r="P69" s="8">
        <f t="shared" si="14"/>
        <v>0</v>
      </c>
      <c r="Q69" s="8">
        <f t="shared" si="15"/>
        <v>0</v>
      </c>
      <c r="R69" s="8">
        <f t="shared" si="40"/>
        <v>0</v>
      </c>
      <c r="S69" s="8">
        <f>IFERROR((O69+P69)*INDEX([1]Sheet1!$A$1:$A$13,MATCH((O69+P69),[1]Sheet1!$B$1:$B$13)),0)</f>
        <v>0</v>
      </c>
      <c r="T69" s="6">
        <f t="shared" si="17"/>
        <v>0</v>
      </c>
      <c r="U69" s="8"/>
      <c r="V69" s="8">
        <f t="shared" si="18"/>
        <v>0</v>
      </c>
      <c r="W69" s="8">
        <f t="shared" si="19"/>
        <v>0</v>
      </c>
      <c r="X69" s="8">
        <f t="shared" si="41"/>
        <v>0</v>
      </c>
      <c r="Y69" s="8">
        <f>IFERROR((U69+V69)*INDEX([1]Sheet1!$A$1:$A$13,MATCH((U69+V69),[1]Sheet1!$B$1:$B$13)),0)</f>
        <v>0</v>
      </c>
      <c r="Z69" s="6">
        <f t="shared" si="21"/>
        <v>0</v>
      </c>
      <c r="AA69" s="8"/>
      <c r="AB69" s="8">
        <f t="shared" si="22"/>
        <v>0</v>
      </c>
      <c r="AC69" s="8">
        <f t="shared" si="23"/>
        <v>0</v>
      </c>
      <c r="AD69" s="8">
        <f t="shared" si="42"/>
        <v>0</v>
      </c>
      <c r="AE69" s="8">
        <f>IFERROR((AA69+AB69)*INDEX([1]Sheet1!$A$1:$A$13,MATCH((AA69+AB69),[1]Sheet1!$B$1:$B$13)),0)</f>
        <v>0</v>
      </c>
      <c r="AF69" s="6">
        <f t="shared" si="25"/>
        <v>0</v>
      </c>
      <c r="AG69" s="8"/>
      <c r="AH69" s="8">
        <f t="shared" si="26"/>
        <v>0</v>
      </c>
      <c r="AI69" s="8">
        <f t="shared" si="27"/>
        <v>0</v>
      </c>
      <c r="AJ69" s="8">
        <f t="shared" si="43"/>
        <v>0</v>
      </c>
      <c r="AK69" s="8">
        <f>IFERROR((AG69+AH69)*INDEX([1]Sheet1!$A$1:$A$13,MATCH((AG69+AH69),[1]Sheet1!$B$1:$B$13)),0)</f>
        <v>0</v>
      </c>
      <c r="AL69" s="6">
        <f t="shared" si="29"/>
        <v>0</v>
      </c>
      <c r="AM69" s="8"/>
      <c r="AN69" s="8">
        <f t="shared" si="30"/>
        <v>0</v>
      </c>
      <c r="AO69" s="8">
        <f t="shared" si="31"/>
        <v>0</v>
      </c>
      <c r="AP69" s="8">
        <f t="shared" si="44"/>
        <v>0</v>
      </c>
      <c r="AQ69" s="8">
        <f>IFERROR((AM69+AN69)*INDEX([1]Sheet1!$A$1:$A$13,MATCH((AM69+AN69),[1]Sheet1!$B$1:$B$13)),0)</f>
        <v>0</v>
      </c>
      <c r="AR69" s="6">
        <f t="shared" si="32"/>
        <v>0</v>
      </c>
      <c r="AS69" s="8"/>
      <c r="AT69" s="8">
        <f t="shared" si="33"/>
        <v>0</v>
      </c>
      <c r="AU69" s="8">
        <f t="shared" si="34"/>
        <v>0</v>
      </c>
      <c r="AV69" s="8">
        <f t="shared" si="45"/>
        <v>0</v>
      </c>
      <c r="AW69" s="8">
        <f>IFERROR((AS69+AT69)*INDEX([1]Sheet1!$A$1:$A$13,MATCH((AS69+AT69),[1]Sheet1!$B$1:$B$13)),0)</f>
        <v>0</v>
      </c>
      <c r="BC69" s="1" t="str">
        <f t="shared" si="35"/>
        <v/>
      </c>
    </row>
    <row r="70" spans="1:55" ht="18" customHeight="1" x14ac:dyDescent="0.2">
      <c r="A70" s="4"/>
      <c r="B70" s="5"/>
      <c r="C70" s="6"/>
      <c r="D70" s="6"/>
      <c r="E70" s="6"/>
      <c r="F70" s="4"/>
      <c r="G70" s="6"/>
      <c r="H70" s="6">
        <f t="shared" si="11"/>
        <v>0</v>
      </c>
      <c r="I70" s="8"/>
      <c r="J70" s="8"/>
      <c r="K70" s="8">
        <f t="shared" si="12"/>
        <v>0</v>
      </c>
      <c r="L70" s="8">
        <f t="shared" si="39"/>
        <v>0</v>
      </c>
      <c r="M70" s="8">
        <f>IFERROR((I70+J70)*INDEX([1]Sheet1!$A$1:$A$13,MATCH((I70+J70),[1]Sheet1!$B$1:$B$13)),0)</f>
        <v>0</v>
      </c>
      <c r="N70" s="6">
        <f t="shared" si="13"/>
        <v>0</v>
      </c>
      <c r="O70" s="8"/>
      <c r="P70" s="8">
        <f t="shared" si="14"/>
        <v>0</v>
      </c>
      <c r="Q70" s="8">
        <f t="shared" si="15"/>
        <v>0</v>
      </c>
      <c r="R70" s="8">
        <f t="shared" si="40"/>
        <v>0</v>
      </c>
      <c r="S70" s="8">
        <f>IFERROR((O70+P70)*INDEX([1]Sheet1!$A$1:$A$13,MATCH((O70+P70),[1]Sheet1!$B$1:$B$13)),0)</f>
        <v>0</v>
      </c>
      <c r="T70" s="6">
        <f t="shared" si="17"/>
        <v>0</v>
      </c>
      <c r="U70" s="8"/>
      <c r="V70" s="8">
        <f t="shared" si="18"/>
        <v>0</v>
      </c>
      <c r="W70" s="8">
        <f t="shared" si="19"/>
        <v>0</v>
      </c>
      <c r="X70" s="8">
        <f t="shared" si="41"/>
        <v>0</v>
      </c>
      <c r="Y70" s="8">
        <f>IFERROR((U70+V70)*INDEX([1]Sheet1!$A$1:$A$13,MATCH((U70+V70),[1]Sheet1!$B$1:$B$13)),0)</f>
        <v>0</v>
      </c>
      <c r="Z70" s="6">
        <f t="shared" si="21"/>
        <v>0</v>
      </c>
      <c r="AA70" s="8"/>
      <c r="AB70" s="8">
        <f t="shared" si="22"/>
        <v>0</v>
      </c>
      <c r="AC70" s="8">
        <f t="shared" si="23"/>
        <v>0</v>
      </c>
      <c r="AD70" s="8">
        <f t="shared" si="42"/>
        <v>0</v>
      </c>
      <c r="AE70" s="8">
        <f>IFERROR((AA70+AB70)*INDEX([1]Sheet1!$A$1:$A$13,MATCH((AA70+AB70),[1]Sheet1!$B$1:$B$13)),0)</f>
        <v>0</v>
      </c>
      <c r="AF70" s="6">
        <f t="shared" si="25"/>
        <v>0</v>
      </c>
      <c r="AG70" s="8"/>
      <c r="AH70" s="8">
        <f t="shared" si="26"/>
        <v>0</v>
      </c>
      <c r="AI70" s="8">
        <f t="shared" si="27"/>
        <v>0</v>
      </c>
      <c r="AJ70" s="8">
        <f t="shared" si="43"/>
        <v>0</v>
      </c>
      <c r="AK70" s="8">
        <f>IFERROR((AG70+AH70)*INDEX([1]Sheet1!$A$1:$A$13,MATCH((AG70+AH70),[1]Sheet1!$B$1:$B$13)),0)</f>
        <v>0</v>
      </c>
      <c r="AL70" s="6">
        <f t="shared" si="29"/>
        <v>0</v>
      </c>
      <c r="AM70" s="8"/>
      <c r="AN70" s="8">
        <f t="shared" si="30"/>
        <v>0</v>
      </c>
      <c r="AO70" s="8">
        <f t="shared" si="31"/>
        <v>0</v>
      </c>
      <c r="AP70" s="8">
        <f t="shared" si="44"/>
        <v>0</v>
      </c>
      <c r="AQ70" s="8">
        <f>IFERROR((AM70+AN70)*INDEX([1]Sheet1!$A$1:$A$13,MATCH((AM70+AN70),[1]Sheet1!$B$1:$B$13)),0)</f>
        <v>0</v>
      </c>
      <c r="AR70" s="6">
        <f t="shared" si="32"/>
        <v>0</v>
      </c>
      <c r="AS70" s="8"/>
      <c r="AT70" s="8">
        <f t="shared" si="33"/>
        <v>0</v>
      </c>
      <c r="AU70" s="8">
        <f t="shared" si="34"/>
        <v>0</v>
      </c>
      <c r="AV70" s="8">
        <f t="shared" si="45"/>
        <v>0</v>
      </c>
      <c r="AW70" s="8">
        <f>IFERROR((AS70+AT70)*INDEX([1]Sheet1!$A$1:$A$13,MATCH((AS70+AT70),[1]Sheet1!$B$1:$B$13)),0)</f>
        <v>0</v>
      </c>
      <c r="BC70" s="1" t="str">
        <f t="shared" si="35"/>
        <v/>
      </c>
    </row>
    <row r="71" spans="1:55" ht="18" customHeight="1" x14ac:dyDescent="0.2">
      <c r="A71" s="4"/>
      <c r="B71" s="5"/>
      <c r="C71" s="6"/>
      <c r="D71" s="6"/>
      <c r="E71" s="6"/>
      <c r="F71" s="4"/>
      <c r="G71" s="6"/>
      <c r="H71" s="6">
        <f t="shared" si="11"/>
        <v>0</v>
      </c>
      <c r="I71" s="8"/>
      <c r="J71" s="8"/>
      <c r="K71" s="8">
        <f t="shared" si="12"/>
        <v>0</v>
      </c>
      <c r="L71" s="8">
        <f t="shared" si="39"/>
        <v>0</v>
      </c>
      <c r="M71" s="8">
        <f>IFERROR((I71+J71)*INDEX([1]Sheet1!$A$1:$A$13,MATCH((I71+J71),[1]Sheet1!$B$1:$B$13)),0)</f>
        <v>0</v>
      </c>
      <c r="N71" s="6">
        <f t="shared" si="13"/>
        <v>0</v>
      </c>
      <c r="O71" s="8"/>
      <c r="P71" s="8">
        <f t="shared" si="14"/>
        <v>0</v>
      </c>
      <c r="Q71" s="8">
        <f t="shared" si="15"/>
        <v>0</v>
      </c>
      <c r="R71" s="8">
        <f t="shared" si="40"/>
        <v>0</v>
      </c>
      <c r="S71" s="8">
        <f>IFERROR((O71+P71)*INDEX([1]Sheet1!$A$1:$A$13,MATCH((O71+P71),[1]Sheet1!$B$1:$B$13)),0)</f>
        <v>0</v>
      </c>
      <c r="T71" s="6">
        <f t="shared" si="17"/>
        <v>0</v>
      </c>
      <c r="U71" s="8"/>
      <c r="V71" s="8">
        <f t="shared" si="18"/>
        <v>0</v>
      </c>
      <c r="W71" s="8">
        <f t="shared" si="19"/>
        <v>0</v>
      </c>
      <c r="X71" s="8">
        <f t="shared" si="41"/>
        <v>0</v>
      </c>
      <c r="Y71" s="8">
        <f>IFERROR((U71+V71)*INDEX([1]Sheet1!$A$1:$A$13,MATCH((U71+V71),[1]Sheet1!$B$1:$B$13)),0)</f>
        <v>0</v>
      </c>
      <c r="Z71" s="6">
        <f t="shared" si="21"/>
        <v>0</v>
      </c>
      <c r="AA71" s="8"/>
      <c r="AB71" s="8">
        <f t="shared" si="22"/>
        <v>0</v>
      </c>
      <c r="AC71" s="8">
        <f t="shared" si="23"/>
        <v>0</v>
      </c>
      <c r="AD71" s="8">
        <f t="shared" si="42"/>
        <v>0</v>
      </c>
      <c r="AE71" s="8">
        <f>IFERROR((AA71+AB71)*INDEX([1]Sheet1!$A$1:$A$13,MATCH((AA71+AB71),[1]Sheet1!$B$1:$B$13)),0)</f>
        <v>0</v>
      </c>
      <c r="AF71" s="6">
        <f t="shared" si="25"/>
        <v>0</v>
      </c>
      <c r="AG71" s="8"/>
      <c r="AH71" s="8">
        <f t="shared" si="26"/>
        <v>0</v>
      </c>
      <c r="AI71" s="8">
        <f t="shared" si="27"/>
        <v>0</v>
      </c>
      <c r="AJ71" s="8">
        <f t="shared" si="43"/>
        <v>0</v>
      </c>
      <c r="AK71" s="8">
        <f>IFERROR((AG71+AH71)*INDEX([1]Sheet1!$A$1:$A$13,MATCH((AG71+AH71),[1]Sheet1!$B$1:$B$13)),0)</f>
        <v>0</v>
      </c>
      <c r="AL71" s="6">
        <f t="shared" si="29"/>
        <v>0</v>
      </c>
      <c r="AM71" s="8"/>
      <c r="AN71" s="8">
        <f t="shared" si="30"/>
        <v>0</v>
      </c>
      <c r="AO71" s="8">
        <f t="shared" si="31"/>
        <v>0</v>
      </c>
      <c r="AP71" s="8">
        <f t="shared" si="44"/>
        <v>0</v>
      </c>
      <c r="AQ71" s="8">
        <f>IFERROR((AM71+AN71)*INDEX([1]Sheet1!$A$1:$A$13,MATCH((AM71+AN71),[1]Sheet1!$B$1:$B$13)),0)</f>
        <v>0</v>
      </c>
      <c r="AR71" s="6">
        <f t="shared" si="32"/>
        <v>0</v>
      </c>
      <c r="AS71" s="8"/>
      <c r="AT71" s="8">
        <f t="shared" si="33"/>
        <v>0</v>
      </c>
      <c r="AU71" s="8">
        <f t="shared" si="34"/>
        <v>0</v>
      </c>
      <c r="AV71" s="8">
        <f t="shared" si="45"/>
        <v>0</v>
      </c>
      <c r="AW71" s="8">
        <f>IFERROR((AS71+AT71)*INDEX([1]Sheet1!$A$1:$A$13,MATCH((AS71+AT71),[1]Sheet1!$B$1:$B$13)),0)</f>
        <v>0</v>
      </c>
      <c r="BC71" s="1" t="str">
        <f t="shared" si="35"/>
        <v/>
      </c>
    </row>
    <row r="72" spans="1:55" ht="18" customHeight="1" x14ac:dyDescent="0.2">
      <c r="A72" s="4"/>
      <c r="B72" s="5"/>
      <c r="C72" s="6"/>
      <c r="D72" s="6"/>
      <c r="E72" s="6"/>
      <c r="F72" s="4"/>
      <c r="G72" s="6"/>
      <c r="H72" s="6">
        <f t="shared" si="11"/>
        <v>0</v>
      </c>
      <c r="I72" s="8"/>
      <c r="J72" s="8"/>
      <c r="K72" s="8">
        <f t="shared" si="12"/>
        <v>0</v>
      </c>
      <c r="L72" s="8">
        <f t="shared" si="39"/>
        <v>0</v>
      </c>
      <c r="M72" s="8">
        <f>IFERROR((I72+J72)*INDEX([1]Sheet1!$A$1:$A$13,MATCH((I72+J72),[1]Sheet1!$B$1:$B$13)),0)</f>
        <v>0</v>
      </c>
      <c r="N72" s="6">
        <f t="shared" si="13"/>
        <v>0</v>
      </c>
      <c r="O72" s="8"/>
      <c r="P72" s="8">
        <f t="shared" si="14"/>
        <v>0</v>
      </c>
      <c r="Q72" s="8">
        <f t="shared" si="15"/>
        <v>0</v>
      </c>
      <c r="R72" s="8">
        <f t="shared" si="40"/>
        <v>0</v>
      </c>
      <c r="S72" s="8">
        <f>IFERROR((O72+P72)*INDEX([1]Sheet1!$A$1:$A$13,MATCH((O72+P72),[1]Sheet1!$B$1:$B$13)),0)</f>
        <v>0</v>
      </c>
      <c r="T72" s="6">
        <f t="shared" si="17"/>
        <v>0</v>
      </c>
      <c r="U72" s="8"/>
      <c r="V72" s="8">
        <f t="shared" si="18"/>
        <v>0</v>
      </c>
      <c r="W72" s="8">
        <f t="shared" si="19"/>
        <v>0</v>
      </c>
      <c r="X72" s="8">
        <f t="shared" si="41"/>
        <v>0</v>
      </c>
      <c r="Y72" s="8">
        <f>IFERROR((U72+V72)*INDEX([1]Sheet1!$A$1:$A$13,MATCH((U72+V72),[1]Sheet1!$B$1:$B$13)),0)</f>
        <v>0</v>
      </c>
      <c r="Z72" s="6">
        <f t="shared" si="21"/>
        <v>0</v>
      </c>
      <c r="AA72" s="8"/>
      <c r="AB72" s="8">
        <f t="shared" si="22"/>
        <v>0</v>
      </c>
      <c r="AC72" s="8">
        <f t="shared" si="23"/>
        <v>0</v>
      </c>
      <c r="AD72" s="8">
        <f t="shared" si="42"/>
        <v>0</v>
      </c>
      <c r="AE72" s="8">
        <f>IFERROR((AA72+AB72)*INDEX([1]Sheet1!$A$1:$A$13,MATCH((AA72+AB72),[1]Sheet1!$B$1:$B$13)),0)</f>
        <v>0</v>
      </c>
      <c r="AF72" s="6">
        <f t="shared" si="25"/>
        <v>0</v>
      </c>
      <c r="AG72" s="8"/>
      <c r="AH72" s="8">
        <f t="shared" si="26"/>
        <v>0</v>
      </c>
      <c r="AI72" s="8">
        <f t="shared" si="27"/>
        <v>0</v>
      </c>
      <c r="AJ72" s="8">
        <f t="shared" si="43"/>
        <v>0</v>
      </c>
      <c r="AK72" s="8">
        <f>IFERROR((AG72+AH72)*INDEX([1]Sheet1!$A$1:$A$13,MATCH((AG72+AH72),[1]Sheet1!$B$1:$B$13)),0)</f>
        <v>0</v>
      </c>
      <c r="AL72" s="6">
        <f t="shared" si="29"/>
        <v>0</v>
      </c>
      <c r="AM72" s="8"/>
      <c r="AN72" s="8">
        <f t="shared" si="30"/>
        <v>0</v>
      </c>
      <c r="AO72" s="8">
        <f t="shared" si="31"/>
        <v>0</v>
      </c>
      <c r="AP72" s="8">
        <f t="shared" si="44"/>
        <v>0</v>
      </c>
      <c r="AQ72" s="8">
        <f>IFERROR((AM72+AN72)*INDEX([1]Sheet1!$A$1:$A$13,MATCH((AM72+AN72),[1]Sheet1!$B$1:$B$13)),0)</f>
        <v>0</v>
      </c>
      <c r="AR72" s="6">
        <f t="shared" si="32"/>
        <v>0</v>
      </c>
      <c r="AS72" s="8"/>
      <c r="AT72" s="8">
        <f t="shared" si="33"/>
        <v>0</v>
      </c>
      <c r="AU72" s="8">
        <f t="shared" si="34"/>
        <v>0</v>
      </c>
      <c r="AV72" s="8">
        <f t="shared" si="45"/>
        <v>0</v>
      </c>
      <c r="AW72" s="8">
        <f>IFERROR((AS72+AT72)*INDEX([1]Sheet1!$A$1:$A$13,MATCH((AS72+AT72),[1]Sheet1!$B$1:$B$13)),0)</f>
        <v>0</v>
      </c>
      <c r="BC72" s="1" t="str">
        <f t="shared" si="35"/>
        <v/>
      </c>
    </row>
    <row r="73" spans="1:55" ht="18" customHeight="1" x14ac:dyDescent="0.2">
      <c r="A73" s="4"/>
      <c r="B73" s="5"/>
      <c r="C73" s="6"/>
      <c r="D73" s="6"/>
      <c r="E73" s="6"/>
      <c r="F73" s="4"/>
      <c r="G73" s="6"/>
      <c r="H73" s="6">
        <f t="shared" si="11"/>
        <v>0</v>
      </c>
      <c r="I73" s="8"/>
      <c r="J73" s="8"/>
      <c r="K73" s="8">
        <f t="shared" si="12"/>
        <v>0</v>
      </c>
      <c r="L73" s="8">
        <f t="shared" si="39"/>
        <v>0</v>
      </c>
      <c r="M73" s="8">
        <f>IFERROR((I73+J73)*INDEX([1]Sheet1!$A$1:$A$13,MATCH((I73+J73),[1]Sheet1!$B$1:$B$13)),0)</f>
        <v>0</v>
      </c>
      <c r="N73" s="6">
        <f t="shared" si="13"/>
        <v>0</v>
      </c>
      <c r="O73" s="8"/>
      <c r="P73" s="8">
        <f t="shared" si="14"/>
        <v>0</v>
      </c>
      <c r="Q73" s="8">
        <f t="shared" si="15"/>
        <v>0</v>
      </c>
      <c r="R73" s="8">
        <f t="shared" si="40"/>
        <v>0</v>
      </c>
      <c r="S73" s="8">
        <f>IFERROR((O73+P73)*INDEX([1]Sheet1!$A$1:$A$13,MATCH((O73+P73),[1]Sheet1!$B$1:$B$13)),0)</f>
        <v>0</v>
      </c>
      <c r="T73" s="6">
        <f t="shared" si="17"/>
        <v>0</v>
      </c>
      <c r="U73" s="8"/>
      <c r="V73" s="8">
        <f t="shared" si="18"/>
        <v>0</v>
      </c>
      <c r="W73" s="8">
        <f t="shared" si="19"/>
        <v>0</v>
      </c>
      <c r="X73" s="8">
        <f t="shared" si="41"/>
        <v>0</v>
      </c>
      <c r="Y73" s="8">
        <f>IFERROR((U73+V73)*INDEX([1]Sheet1!$A$1:$A$13,MATCH((U73+V73),[1]Sheet1!$B$1:$B$13)),0)</f>
        <v>0</v>
      </c>
      <c r="Z73" s="6">
        <f t="shared" si="21"/>
        <v>0</v>
      </c>
      <c r="AA73" s="8"/>
      <c r="AB73" s="8">
        <f t="shared" si="22"/>
        <v>0</v>
      </c>
      <c r="AC73" s="8">
        <f t="shared" si="23"/>
        <v>0</v>
      </c>
      <c r="AD73" s="8">
        <f t="shared" si="42"/>
        <v>0</v>
      </c>
      <c r="AE73" s="8">
        <f>IFERROR((AA73+AB73)*INDEX([1]Sheet1!$A$1:$A$13,MATCH((AA73+AB73),[1]Sheet1!$B$1:$B$13)),0)</f>
        <v>0</v>
      </c>
      <c r="AF73" s="6">
        <f t="shared" si="25"/>
        <v>0</v>
      </c>
      <c r="AG73" s="8"/>
      <c r="AH73" s="8">
        <f t="shared" si="26"/>
        <v>0</v>
      </c>
      <c r="AI73" s="8">
        <f t="shared" si="27"/>
        <v>0</v>
      </c>
      <c r="AJ73" s="8">
        <f t="shared" si="43"/>
        <v>0</v>
      </c>
      <c r="AK73" s="8">
        <f>IFERROR((AG73+AH73)*INDEX([1]Sheet1!$A$1:$A$13,MATCH((AG73+AH73),[1]Sheet1!$B$1:$B$13)),0)</f>
        <v>0</v>
      </c>
      <c r="AL73" s="6">
        <f t="shared" si="29"/>
        <v>0</v>
      </c>
      <c r="AM73" s="8"/>
      <c r="AN73" s="8">
        <f t="shared" si="30"/>
        <v>0</v>
      </c>
      <c r="AO73" s="8">
        <f t="shared" si="31"/>
        <v>0</v>
      </c>
      <c r="AP73" s="8">
        <f t="shared" si="44"/>
        <v>0</v>
      </c>
      <c r="AQ73" s="8">
        <f>IFERROR((AM73+AN73)*INDEX([1]Sheet1!$A$1:$A$13,MATCH((AM73+AN73),[1]Sheet1!$B$1:$B$13)),0)</f>
        <v>0</v>
      </c>
      <c r="AR73" s="6">
        <f t="shared" si="32"/>
        <v>0</v>
      </c>
      <c r="AS73" s="8"/>
      <c r="AT73" s="8">
        <f t="shared" si="33"/>
        <v>0</v>
      </c>
      <c r="AU73" s="8">
        <f t="shared" si="34"/>
        <v>0</v>
      </c>
      <c r="AV73" s="8">
        <f t="shared" si="45"/>
        <v>0</v>
      </c>
      <c r="AW73" s="8">
        <f>IFERROR((AS73+AT73)*INDEX([1]Sheet1!$A$1:$A$13,MATCH((AS73+AT73),[1]Sheet1!$B$1:$B$13)),0)</f>
        <v>0</v>
      </c>
      <c r="BC73" s="1" t="str">
        <f t="shared" si="35"/>
        <v/>
      </c>
    </row>
    <row r="74" spans="1:55" ht="18" customHeight="1" x14ac:dyDescent="0.2">
      <c r="A74" s="4"/>
      <c r="B74" s="5"/>
      <c r="C74" s="6"/>
      <c r="D74" s="6"/>
      <c r="E74" s="6"/>
      <c r="F74" s="4"/>
      <c r="G74" s="6"/>
      <c r="H74" s="6">
        <f t="shared" si="11"/>
        <v>0</v>
      </c>
      <c r="I74" s="8"/>
      <c r="J74" s="8"/>
      <c r="K74" s="8">
        <f t="shared" si="12"/>
        <v>0</v>
      </c>
      <c r="L74" s="8">
        <f t="shared" si="39"/>
        <v>0</v>
      </c>
      <c r="M74" s="8">
        <f>IFERROR((I74+J74)*INDEX([1]Sheet1!$A$1:$A$13,MATCH((I74+J74),[1]Sheet1!$B$1:$B$13)),0)</f>
        <v>0</v>
      </c>
      <c r="N74" s="6">
        <f t="shared" si="13"/>
        <v>0</v>
      </c>
      <c r="O74" s="8"/>
      <c r="P74" s="8">
        <f t="shared" si="14"/>
        <v>0</v>
      </c>
      <c r="Q74" s="8">
        <f t="shared" si="15"/>
        <v>0</v>
      </c>
      <c r="R74" s="8">
        <f t="shared" si="40"/>
        <v>0</v>
      </c>
      <c r="S74" s="8">
        <f>IFERROR((O74+P74)*INDEX([1]Sheet1!$A$1:$A$13,MATCH((O74+P74),[1]Sheet1!$B$1:$B$13)),0)</f>
        <v>0</v>
      </c>
      <c r="T74" s="6">
        <f t="shared" si="17"/>
        <v>0</v>
      </c>
      <c r="U74" s="8"/>
      <c r="V74" s="8">
        <f t="shared" si="18"/>
        <v>0</v>
      </c>
      <c r="W74" s="8">
        <f t="shared" si="19"/>
        <v>0</v>
      </c>
      <c r="X74" s="8">
        <f t="shared" si="41"/>
        <v>0</v>
      </c>
      <c r="Y74" s="8">
        <f>IFERROR((U74+V74)*INDEX([1]Sheet1!$A$1:$A$13,MATCH((U74+V74),[1]Sheet1!$B$1:$B$13)),0)</f>
        <v>0</v>
      </c>
      <c r="Z74" s="6">
        <f t="shared" si="21"/>
        <v>0</v>
      </c>
      <c r="AA74" s="8"/>
      <c r="AB74" s="8">
        <f t="shared" si="22"/>
        <v>0</v>
      </c>
      <c r="AC74" s="8">
        <f t="shared" si="23"/>
        <v>0</v>
      </c>
      <c r="AD74" s="8">
        <f t="shared" si="42"/>
        <v>0</v>
      </c>
      <c r="AE74" s="8">
        <f>IFERROR((AA74+AB74)*INDEX([1]Sheet1!$A$1:$A$13,MATCH((AA74+AB74),[1]Sheet1!$B$1:$B$13)),0)</f>
        <v>0</v>
      </c>
      <c r="AF74" s="6">
        <f t="shared" si="25"/>
        <v>0</v>
      </c>
      <c r="AG74" s="8"/>
      <c r="AH74" s="8">
        <f t="shared" si="26"/>
        <v>0</v>
      </c>
      <c r="AI74" s="8">
        <f t="shared" si="27"/>
        <v>0</v>
      </c>
      <c r="AJ74" s="8">
        <f t="shared" si="43"/>
        <v>0</v>
      </c>
      <c r="AK74" s="8">
        <f>IFERROR((AG74+AH74)*INDEX([1]Sheet1!$A$1:$A$13,MATCH((AG74+AH74),[1]Sheet1!$B$1:$B$13)),0)</f>
        <v>0</v>
      </c>
      <c r="AL74" s="6">
        <f t="shared" si="29"/>
        <v>0</v>
      </c>
      <c r="AM74" s="8"/>
      <c r="AN74" s="8">
        <f t="shared" si="30"/>
        <v>0</v>
      </c>
      <c r="AO74" s="8">
        <f t="shared" si="31"/>
        <v>0</v>
      </c>
      <c r="AP74" s="8">
        <f t="shared" si="44"/>
        <v>0</v>
      </c>
      <c r="AQ74" s="8">
        <f>IFERROR((AM74+AN74)*INDEX([1]Sheet1!$A$1:$A$13,MATCH((AM74+AN74),[1]Sheet1!$B$1:$B$13)),0)</f>
        <v>0</v>
      </c>
      <c r="AR74" s="6">
        <f t="shared" si="32"/>
        <v>0</v>
      </c>
      <c r="AS74" s="8"/>
      <c r="AT74" s="8">
        <f t="shared" si="33"/>
        <v>0</v>
      </c>
      <c r="AU74" s="8">
        <f t="shared" si="34"/>
        <v>0</v>
      </c>
      <c r="AV74" s="8">
        <f t="shared" si="45"/>
        <v>0</v>
      </c>
      <c r="AW74" s="8">
        <f>IFERROR((AS74+AT74)*INDEX([1]Sheet1!$A$1:$A$13,MATCH((AS74+AT74),[1]Sheet1!$B$1:$B$13)),0)</f>
        <v>0</v>
      </c>
      <c r="BC74" s="1" t="str">
        <f t="shared" si="35"/>
        <v/>
      </c>
    </row>
    <row r="75" spans="1:55" ht="18" customHeight="1" x14ac:dyDescent="0.2">
      <c r="A75" s="4"/>
      <c r="B75" s="6"/>
      <c r="C75" s="6"/>
      <c r="D75" s="6"/>
      <c r="E75" s="6"/>
      <c r="F75" s="4"/>
      <c r="G75" s="6"/>
      <c r="H75" s="6">
        <f t="shared" si="11"/>
        <v>0</v>
      </c>
      <c r="I75" s="8"/>
      <c r="J75" s="8"/>
      <c r="K75" s="8">
        <f t="shared" si="12"/>
        <v>0</v>
      </c>
      <c r="L75" s="8">
        <f t="shared" si="39"/>
        <v>0</v>
      </c>
      <c r="M75" s="8">
        <f>IFERROR((I75+J75)*INDEX([1]Sheet1!$A$1:$A$13,MATCH((I75+J75),[1]Sheet1!$B$1:$B$13)),0)</f>
        <v>0</v>
      </c>
      <c r="N75" s="6">
        <f t="shared" si="13"/>
        <v>0</v>
      </c>
      <c r="O75" s="8"/>
      <c r="P75" s="8">
        <f t="shared" si="14"/>
        <v>0</v>
      </c>
      <c r="Q75" s="8">
        <f t="shared" si="15"/>
        <v>0</v>
      </c>
      <c r="R75" s="8">
        <f t="shared" si="40"/>
        <v>0</v>
      </c>
      <c r="S75" s="8">
        <f>IFERROR((O75+P75)*INDEX([1]Sheet1!$A$1:$A$13,MATCH((O75+P75),[1]Sheet1!$B$1:$B$13)),0)</f>
        <v>0</v>
      </c>
      <c r="T75" s="6">
        <f t="shared" si="17"/>
        <v>0</v>
      </c>
      <c r="U75" s="8"/>
      <c r="V75" s="8">
        <f t="shared" si="18"/>
        <v>0</v>
      </c>
      <c r="W75" s="8">
        <f t="shared" si="19"/>
        <v>0</v>
      </c>
      <c r="X75" s="8">
        <f t="shared" si="41"/>
        <v>0</v>
      </c>
      <c r="Y75" s="8">
        <f>IFERROR((U75+V75)*INDEX([1]Sheet1!$A$1:$A$13,MATCH((U75+V75),[1]Sheet1!$B$1:$B$13)),0)</f>
        <v>0</v>
      </c>
      <c r="Z75" s="6">
        <f t="shared" si="21"/>
        <v>0</v>
      </c>
      <c r="AA75" s="8"/>
      <c r="AB75" s="8">
        <f t="shared" si="22"/>
        <v>0</v>
      </c>
      <c r="AC75" s="8">
        <f t="shared" si="23"/>
        <v>0</v>
      </c>
      <c r="AD75" s="8">
        <f t="shared" si="42"/>
        <v>0</v>
      </c>
      <c r="AE75" s="8">
        <f>IFERROR((AA75+AB75)*INDEX([1]Sheet1!$A$1:$A$13,MATCH((AA75+AB75),[1]Sheet1!$B$1:$B$13)),0)</f>
        <v>0</v>
      </c>
      <c r="AF75" s="6">
        <f t="shared" si="25"/>
        <v>0</v>
      </c>
      <c r="AG75" s="8"/>
      <c r="AH75" s="8">
        <f t="shared" si="26"/>
        <v>0</v>
      </c>
      <c r="AI75" s="8">
        <f t="shared" si="27"/>
        <v>0</v>
      </c>
      <c r="AJ75" s="8">
        <f t="shared" si="43"/>
        <v>0</v>
      </c>
      <c r="AK75" s="8">
        <f>IFERROR((AG75+AH75)*INDEX([1]Sheet1!$A$1:$A$13,MATCH((AG75+AH75),[1]Sheet1!$B$1:$B$13)),0)</f>
        <v>0</v>
      </c>
      <c r="AL75" s="6">
        <f t="shared" si="29"/>
        <v>0</v>
      </c>
      <c r="AM75" s="8"/>
      <c r="AN75" s="8">
        <f t="shared" si="30"/>
        <v>0</v>
      </c>
      <c r="AO75" s="8">
        <f t="shared" si="31"/>
        <v>0</v>
      </c>
      <c r="AP75" s="8">
        <f t="shared" si="44"/>
        <v>0</v>
      </c>
      <c r="AQ75" s="8">
        <f>IFERROR((AM75+AN75)*INDEX([1]Sheet1!$A$1:$A$13,MATCH((AM75+AN75),[1]Sheet1!$B$1:$B$13)),0)</f>
        <v>0</v>
      </c>
      <c r="AR75" s="6">
        <f t="shared" si="32"/>
        <v>0</v>
      </c>
      <c r="AS75" s="8"/>
      <c r="AT75" s="8">
        <f t="shared" si="33"/>
        <v>0</v>
      </c>
      <c r="AU75" s="8">
        <f t="shared" si="34"/>
        <v>0</v>
      </c>
      <c r="AV75" s="8">
        <f t="shared" si="45"/>
        <v>0</v>
      </c>
      <c r="AW75" s="8">
        <f>IFERROR((AS75+AT75)*INDEX([1]Sheet1!$A$1:$A$13,MATCH((AS75+AT75),[1]Sheet1!$B$1:$B$13)),0)</f>
        <v>0</v>
      </c>
      <c r="BC75" s="1" t="str">
        <f t="shared" si="35"/>
        <v/>
      </c>
    </row>
    <row r="76" spans="1:55" ht="18" customHeight="1" x14ac:dyDescent="0.2">
      <c r="A76" s="4"/>
      <c r="B76" s="5"/>
      <c r="C76" s="6"/>
      <c r="D76" s="6"/>
      <c r="E76" s="6"/>
      <c r="F76" s="4"/>
      <c r="G76" s="6"/>
      <c r="H76" s="6">
        <f t="shared" si="11"/>
        <v>0</v>
      </c>
      <c r="I76" s="8"/>
      <c r="J76" s="8"/>
      <c r="K76" s="8">
        <f t="shared" si="12"/>
        <v>0</v>
      </c>
      <c r="L76" s="8">
        <f t="shared" si="39"/>
        <v>0</v>
      </c>
      <c r="M76" s="8">
        <f>IFERROR((I76+J76)*INDEX([1]Sheet1!$A$1:$A$13,MATCH((I76+J76),[1]Sheet1!$B$1:$B$13)),0)</f>
        <v>0</v>
      </c>
      <c r="N76" s="6">
        <f t="shared" si="13"/>
        <v>0</v>
      </c>
      <c r="O76" s="8"/>
      <c r="P76" s="8">
        <f t="shared" si="14"/>
        <v>0</v>
      </c>
      <c r="Q76" s="8">
        <f t="shared" si="15"/>
        <v>0</v>
      </c>
      <c r="R76" s="8">
        <f t="shared" si="40"/>
        <v>0</v>
      </c>
      <c r="S76" s="8">
        <f>IFERROR((O76+P76)*INDEX([1]Sheet1!$A$1:$A$13,MATCH((O76+P76),[1]Sheet1!$B$1:$B$13)),0)</f>
        <v>0</v>
      </c>
      <c r="T76" s="6">
        <f t="shared" si="17"/>
        <v>0</v>
      </c>
      <c r="U76" s="8"/>
      <c r="V76" s="8">
        <f t="shared" si="18"/>
        <v>0</v>
      </c>
      <c r="W76" s="8">
        <f t="shared" si="19"/>
        <v>0</v>
      </c>
      <c r="X76" s="8">
        <f t="shared" si="41"/>
        <v>0</v>
      </c>
      <c r="Y76" s="8">
        <f>IFERROR((U76+V76)*INDEX([1]Sheet1!$A$1:$A$13,MATCH((U76+V76),[1]Sheet1!$B$1:$B$13)),0)</f>
        <v>0</v>
      </c>
      <c r="Z76" s="6">
        <f t="shared" si="21"/>
        <v>0</v>
      </c>
      <c r="AA76" s="8"/>
      <c r="AB76" s="8">
        <f t="shared" si="22"/>
        <v>0</v>
      </c>
      <c r="AC76" s="8">
        <f t="shared" si="23"/>
        <v>0</v>
      </c>
      <c r="AD76" s="8">
        <f t="shared" si="42"/>
        <v>0</v>
      </c>
      <c r="AE76" s="8">
        <f>IFERROR((AA76+AB76)*INDEX([1]Sheet1!$A$1:$A$13,MATCH((AA76+AB76),[1]Sheet1!$B$1:$B$13)),0)</f>
        <v>0</v>
      </c>
      <c r="AF76" s="6">
        <f t="shared" si="25"/>
        <v>0</v>
      </c>
      <c r="AG76" s="8"/>
      <c r="AH76" s="8">
        <f t="shared" si="26"/>
        <v>0</v>
      </c>
      <c r="AI76" s="8">
        <f t="shared" si="27"/>
        <v>0</v>
      </c>
      <c r="AJ76" s="8">
        <f t="shared" si="43"/>
        <v>0</v>
      </c>
      <c r="AK76" s="8">
        <f>IFERROR((AG76+AH76)*INDEX([1]Sheet1!$A$1:$A$13,MATCH((AG76+AH76),[1]Sheet1!$B$1:$B$13)),0)</f>
        <v>0</v>
      </c>
      <c r="AL76" s="6">
        <f t="shared" si="29"/>
        <v>0</v>
      </c>
      <c r="AM76" s="8"/>
      <c r="AN76" s="8">
        <f t="shared" si="30"/>
        <v>0</v>
      </c>
      <c r="AO76" s="8">
        <f t="shared" si="31"/>
        <v>0</v>
      </c>
      <c r="AP76" s="8">
        <f t="shared" si="44"/>
        <v>0</v>
      </c>
      <c r="AQ76" s="8">
        <f>IFERROR((AM76+AN76)*INDEX([1]Sheet1!$A$1:$A$13,MATCH((AM76+AN76),[1]Sheet1!$B$1:$B$13)),0)</f>
        <v>0</v>
      </c>
      <c r="AR76" s="6">
        <f t="shared" si="32"/>
        <v>0</v>
      </c>
      <c r="AS76" s="8"/>
      <c r="AT76" s="8">
        <f t="shared" si="33"/>
        <v>0</v>
      </c>
      <c r="AU76" s="8">
        <f t="shared" si="34"/>
        <v>0</v>
      </c>
      <c r="AV76" s="8">
        <f t="shared" si="45"/>
        <v>0</v>
      </c>
      <c r="AW76" s="8">
        <f>IFERROR((AS76+AT76)*INDEX([1]Sheet1!$A$1:$A$13,MATCH((AS76+AT76),[1]Sheet1!$B$1:$B$13)),0)</f>
        <v>0</v>
      </c>
      <c r="BC76" s="1" t="str">
        <f t="shared" si="35"/>
        <v/>
      </c>
    </row>
    <row r="77" spans="1:55" ht="18" customHeight="1" x14ac:dyDescent="0.2">
      <c r="A77" s="4"/>
      <c r="B77" s="5"/>
      <c r="C77" s="6"/>
      <c r="D77" s="6"/>
      <c r="E77" s="6"/>
      <c r="F77" s="4"/>
      <c r="G77" s="6"/>
      <c r="H77" s="6">
        <f t="shared" si="11"/>
        <v>0</v>
      </c>
      <c r="I77" s="8"/>
      <c r="J77" s="8"/>
      <c r="K77" s="8">
        <f t="shared" si="12"/>
        <v>0</v>
      </c>
      <c r="L77" s="8">
        <f t="shared" si="39"/>
        <v>0</v>
      </c>
      <c r="M77" s="8">
        <f>IFERROR((I77+J77)*INDEX([1]Sheet1!$A$1:$A$13,MATCH((I77+J77),[1]Sheet1!$B$1:$B$13)),0)</f>
        <v>0</v>
      </c>
      <c r="N77" s="6">
        <f t="shared" si="13"/>
        <v>0</v>
      </c>
      <c r="O77" s="8"/>
      <c r="P77" s="8">
        <f t="shared" si="14"/>
        <v>0</v>
      </c>
      <c r="Q77" s="8">
        <f t="shared" si="15"/>
        <v>0</v>
      </c>
      <c r="R77" s="8">
        <f t="shared" si="40"/>
        <v>0</v>
      </c>
      <c r="S77" s="8">
        <f>IFERROR((O77+P77)*INDEX([1]Sheet1!$A$1:$A$13,MATCH((O77+P77),[1]Sheet1!$B$1:$B$13)),0)</f>
        <v>0</v>
      </c>
      <c r="T77" s="6">
        <f t="shared" si="17"/>
        <v>0</v>
      </c>
      <c r="U77" s="8"/>
      <c r="V77" s="8">
        <f t="shared" si="18"/>
        <v>0</v>
      </c>
      <c r="W77" s="8">
        <f t="shared" si="19"/>
        <v>0</v>
      </c>
      <c r="X77" s="8">
        <f t="shared" si="41"/>
        <v>0</v>
      </c>
      <c r="Y77" s="8">
        <f>IFERROR((U77+V77)*INDEX([1]Sheet1!$A$1:$A$13,MATCH((U77+V77),[1]Sheet1!$B$1:$B$13)),0)</f>
        <v>0</v>
      </c>
      <c r="Z77" s="6">
        <f t="shared" si="21"/>
        <v>0</v>
      </c>
      <c r="AA77" s="8"/>
      <c r="AB77" s="8">
        <f t="shared" si="22"/>
        <v>0</v>
      </c>
      <c r="AC77" s="8">
        <f t="shared" si="23"/>
        <v>0</v>
      </c>
      <c r="AD77" s="8">
        <f t="shared" si="42"/>
        <v>0</v>
      </c>
      <c r="AE77" s="8">
        <f>IFERROR((AA77+AB77)*INDEX([1]Sheet1!$A$1:$A$13,MATCH((AA77+AB77),[1]Sheet1!$B$1:$B$13)),0)</f>
        <v>0</v>
      </c>
      <c r="AF77" s="6">
        <f t="shared" si="25"/>
        <v>0</v>
      </c>
      <c r="AG77" s="8"/>
      <c r="AH77" s="8">
        <f t="shared" si="26"/>
        <v>0</v>
      </c>
      <c r="AI77" s="8">
        <f t="shared" si="27"/>
        <v>0</v>
      </c>
      <c r="AJ77" s="8">
        <f t="shared" si="43"/>
        <v>0</v>
      </c>
      <c r="AK77" s="8">
        <f>IFERROR((AG77+AH77)*INDEX([1]Sheet1!$A$1:$A$13,MATCH((AG77+AH77),[1]Sheet1!$B$1:$B$13)),0)</f>
        <v>0</v>
      </c>
      <c r="AL77" s="6">
        <f t="shared" si="29"/>
        <v>0</v>
      </c>
      <c r="AM77" s="8"/>
      <c r="AN77" s="8">
        <f t="shared" si="30"/>
        <v>0</v>
      </c>
      <c r="AO77" s="8">
        <f t="shared" si="31"/>
        <v>0</v>
      </c>
      <c r="AP77" s="8">
        <f t="shared" si="44"/>
        <v>0</v>
      </c>
      <c r="AQ77" s="8">
        <f>IFERROR((AM77+AN77)*INDEX([1]Sheet1!$A$1:$A$13,MATCH((AM77+AN77),[1]Sheet1!$B$1:$B$13)),0)</f>
        <v>0</v>
      </c>
      <c r="AR77" s="6">
        <f t="shared" si="32"/>
        <v>0</v>
      </c>
      <c r="AS77" s="8"/>
      <c r="AT77" s="8">
        <f t="shared" si="33"/>
        <v>0</v>
      </c>
      <c r="AU77" s="8">
        <f t="shared" si="34"/>
        <v>0</v>
      </c>
      <c r="AV77" s="8">
        <f t="shared" si="45"/>
        <v>0</v>
      </c>
      <c r="AW77" s="8">
        <f>IFERROR((AS77+AT77)*INDEX([1]Sheet1!$A$1:$A$13,MATCH((AS77+AT77),[1]Sheet1!$B$1:$B$13)),0)</f>
        <v>0</v>
      </c>
      <c r="BC77" s="1" t="str">
        <f t="shared" si="35"/>
        <v/>
      </c>
    </row>
    <row r="78" spans="1:55" ht="18" customHeight="1" x14ac:dyDescent="0.2">
      <c r="A78" s="4"/>
      <c r="B78" s="5"/>
      <c r="C78" s="6"/>
      <c r="D78" s="6"/>
      <c r="E78" s="6"/>
      <c r="F78" s="4"/>
      <c r="G78" s="6"/>
      <c r="H78" s="6">
        <f t="shared" si="11"/>
        <v>0</v>
      </c>
      <c r="I78" s="8"/>
      <c r="J78" s="8"/>
      <c r="K78" s="8">
        <f t="shared" si="12"/>
        <v>0</v>
      </c>
      <c r="L78" s="8">
        <f t="shared" si="39"/>
        <v>0</v>
      </c>
      <c r="M78" s="8">
        <f>IFERROR((I78+J78)*INDEX([1]Sheet1!$A$1:$A$13,MATCH((I78+J78),[1]Sheet1!$B$1:$B$13)),0)</f>
        <v>0</v>
      </c>
      <c r="N78" s="6">
        <f t="shared" si="13"/>
        <v>0</v>
      </c>
      <c r="O78" s="8"/>
      <c r="P78" s="8">
        <f t="shared" si="14"/>
        <v>0</v>
      </c>
      <c r="Q78" s="8">
        <f t="shared" si="15"/>
        <v>0</v>
      </c>
      <c r="R78" s="8">
        <f t="shared" si="40"/>
        <v>0</v>
      </c>
      <c r="S78" s="8">
        <f>IFERROR((O78+P78)*INDEX([1]Sheet1!$A$1:$A$13,MATCH((O78+P78),[1]Sheet1!$B$1:$B$13)),0)</f>
        <v>0</v>
      </c>
      <c r="T78" s="6">
        <f t="shared" si="17"/>
        <v>0</v>
      </c>
      <c r="U78" s="8"/>
      <c r="V78" s="8">
        <f t="shared" si="18"/>
        <v>0</v>
      </c>
      <c r="W78" s="8">
        <f t="shared" si="19"/>
        <v>0</v>
      </c>
      <c r="X78" s="8">
        <f t="shared" si="41"/>
        <v>0</v>
      </c>
      <c r="Y78" s="8">
        <f>IFERROR((U78+V78)*INDEX([1]Sheet1!$A$1:$A$13,MATCH((U78+V78),[1]Sheet1!$B$1:$B$13)),0)</f>
        <v>0</v>
      </c>
      <c r="Z78" s="6">
        <f t="shared" si="21"/>
        <v>0</v>
      </c>
      <c r="AA78" s="8"/>
      <c r="AB78" s="8">
        <f t="shared" si="22"/>
        <v>0</v>
      </c>
      <c r="AC78" s="8">
        <f t="shared" si="23"/>
        <v>0</v>
      </c>
      <c r="AD78" s="8">
        <f t="shared" si="42"/>
        <v>0</v>
      </c>
      <c r="AE78" s="8">
        <f>IFERROR((AA78+AB78)*INDEX([1]Sheet1!$A$1:$A$13,MATCH((AA78+AB78),[1]Sheet1!$B$1:$B$13)),0)</f>
        <v>0</v>
      </c>
      <c r="AF78" s="6">
        <f t="shared" si="25"/>
        <v>0</v>
      </c>
      <c r="AG78" s="8"/>
      <c r="AH78" s="8">
        <f t="shared" si="26"/>
        <v>0</v>
      </c>
      <c r="AI78" s="8">
        <f t="shared" si="27"/>
        <v>0</v>
      </c>
      <c r="AJ78" s="8">
        <f t="shared" si="43"/>
        <v>0</v>
      </c>
      <c r="AK78" s="8">
        <f>IFERROR((AG78+AH78)*INDEX([1]Sheet1!$A$1:$A$13,MATCH((AG78+AH78),[1]Sheet1!$B$1:$B$13)),0)</f>
        <v>0</v>
      </c>
      <c r="AL78" s="6">
        <f t="shared" si="29"/>
        <v>0</v>
      </c>
      <c r="AM78" s="8"/>
      <c r="AN78" s="8">
        <f t="shared" si="30"/>
        <v>0</v>
      </c>
      <c r="AO78" s="8">
        <f t="shared" si="31"/>
        <v>0</v>
      </c>
      <c r="AP78" s="8">
        <f t="shared" si="44"/>
        <v>0</v>
      </c>
      <c r="AQ78" s="8">
        <f>IFERROR((AM78+AN78)*INDEX([1]Sheet1!$A$1:$A$13,MATCH((AM78+AN78),[1]Sheet1!$B$1:$B$13)),0)</f>
        <v>0</v>
      </c>
      <c r="AR78" s="6">
        <f t="shared" si="32"/>
        <v>0</v>
      </c>
      <c r="AS78" s="8"/>
      <c r="AT78" s="8">
        <f t="shared" si="33"/>
        <v>0</v>
      </c>
      <c r="AU78" s="8">
        <f t="shared" si="34"/>
        <v>0</v>
      </c>
      <c r="AV78" s="8">
        <f t="shared" si="45"/>
        <v>0</v>
      </c>
      <c r="AW78" s="8">
        <f>IFERROR((AS78+AT78)*INDEX([1]Sheet1!$A$1:$A$13,MATCH((AS78+AT78),[1]Sheet1!$B$1:$B$13)),0)</f>
        <v>0</v>
      </c>
      <c r="BC78" s="1" t="str">
        <f t="shared" si="35"/>
        <v/>
      </c>
    </row>
    <row r="79" spans="1:55" ht="18" customHeight="1" x14ac:dyDescent="0.2">
      <c r="A79" s="4"/>
      <c r="B79" s="5"/>
      <c r="C79" s="6"/>
      <c r="D79" s="6"/>
      <c r="E79" s="6"/>
      <c r="F79" s="4"/>
      <c r="G79" s="6"/>
      <c r="H79" s="6">
        <f t="shared" si="11"/>
        <v>0</v>
      </c>
      <c r="I79" s="8"/>
      <c r="J79" s="8"/>
      <c r="K79" s="8">
        <f t="shared" si="12"/>
        <v>0</v>
      </c>
      <c r="L79" s="8">
        <f t="shared" si="39"/>
        <v>0</v>
      </c>
      <c r="M79" s="8">
        <f>IFERROR((I79+J79)*INDEX([1]Sheet1!$A$1:$A$13,MATCH((I79+J79),[1]Sheet1!$B$1:$B$13)),0)</f>
        <v>0</v>
      </c>
      <c r="N79" s="6">
        <f t="shared" si="13"/>
        <v>0</v>
      </c>
      <c r="O79" s="8"/>
      <c r="P79" s="8">
        <f t="shared" si="14"/>
        <v>0</v>
      </c>
      <c r="Q79" s="8">
        <f t="shared" si="15"/>
        <v>0</v>
      </c>
      <c r="R79" s="8">
        <f t="shared" si="40"/>
        <v>0</v>
      </c>
      <c r="S79" s="8">
        <f>IFERROR((O79+P79)*INDEX([1]Sheet1!$A$1:$A$13,MATCH((O79+P79),[1]Sheet1!$B$1:$B$13)),0)</f>
        <v>0</v>
      </c>
      <c r="T79" s="6">
        <f t="shared" si="17"/>
        <v>0</v>
      </c>
      <c r="U79" s="8"/>
      <c r="V79" s="8">
        <f t="shared" si="18"/>
        <v>0</v>
      </c>
      <c r="W79" s="8">
        <f t="shared" si="19"/>
        <v>0</v>
      </c>
      <c r="X79" s="8">
        <f t="shared" si="41"/>
        <v>0</v>
      </c>
      <c r="Y79" s="8">
        <f>IFERROR((U79+V79)*INDEX([1]Sheet1!$A$1:$A$13,MATCH((U79+V79),[1]Sheet1!$B$1:$B$13)),0)</f>
        <v>0</v>
      </c>
      <c r="Z79" s="6">
        <f t="shared" si="21"/>
        <v>0</v>
      </c>
      <c r="AA79" s="8"/>
      <c r="AB79" s="8">
        <f t="shared" si="22"/>
        <v>0</v>
      </c>
      <c r="AC79" s="8">
        <f t="shared" si="23"/>
        <v>0</v>
      </c>
      <c r="AD79" s="8">
        <f t="shared" si="42"/>
        <v>0</v>
      </c>
      <c r="AE79" s="8">
        <f>IFERROR((AA79+AB79)*INDEX([1]Sheet1!$A$1:$A$13,MATCH((AA79+AB79),[1]Sheet1!$B$1:$B$13)),0)</f>
        <v>0</v>
      </c>
      <c r="AF79" s="6">
        <f t="shared" si="25"/>
        <v>0</v>
      </c>
      <c r="AG79" s="8"/>
      <c r="AH79" s="8">
        <f t="shared" si="26"/>
        <v>0</v>
      </c>
      <c r="AI79" s="8">
        <f t="shared" si="27"/>
        <v>0</v>
      </c>
      <c r="AJ79" s="8">
        <f t="shared" si="43"/>
        <v>0</v>
      </c>
      <c r="AK79" s="8">
        <f>IFERROR((AG79+AH79)*INDEX([1]Sheet1!$A$1:$A$13,MATCH((AG79+AH79),[1]Sheet1!$B$1:$B$13)),0)</f>
        <v>0</v>
      </c>
      <c r="AL79" s="6">
        <f t="shared" si="29"/>
        <v>0</v>
      </c>
      <c r="AM79" s="8"/>
      <c r="AN79" s="8">
        <f t="shared" si="30"/>
        <v>0</v>
      </c>
      <c r="AO79" s="8">
        <f t="shared" si="31"/>
        <v>0</v>
      </c>
      <c r="AP79" s="8">
        <f t="shared" si="44"/>
        <v>0</v>
      </c>
      <c r="AQ79" s="8">
        <f>IFERROR((AM79+AN79)*INDEX([1]Sheet1!$A$1:$A$13,MATCH((AM79+AN79),[1]Sheet1!$B$1:$B$13)),0)</f>
        <v>0</v>
      </c>
      <c r="AR79" s="6">
        <f t="shared" si="32"/>
        <v>0</v>
      </c>
      <c r="AS79" s="8"/>
      <c r="AT79" s="8">
        <f t="shared" si="33"/>
        <v>0</v>
      </c>
      <c r="AU79" s="8">
        <f t="shared" si="34"/>
        <v>0</v>
      </c>
      <c r="AV79" s="8">
        <f t="shared" si="45"/>
        <v>0</v>
      </c>
      <c r="AW79" s="8">
        <f>IFERROR((AS79+AT79)*INDEX([1]Sheet1!$A$1:$A$13,MATCH((AS79+AT79),[1]Sheet1!$B$1:$B$13)),0)</f>
        <v>0</v>
      </c>
      <c r="BC79" s="1" t="str">
        <f t="shared" si="35"/>
        <v/>
      </c>
    </row>
    <row r="80" spans="1:55" ht="18" customHeight="1" x14ac:dyDescent="0.2">
      <c r="A80" s="4"/>
      <c r="B80" s="6"/>
      <c r="C80" s="6"/>
      <c r="D80" s="6"/>
      <c r="E80" s="6"/>
      <c r="F80" s="4"/>
      <c r="G80" s="6"/>
      <c r="H80" s="6">
        <f t="shared" si="11"/>
        <v>0</v>
      </c>
      <c r="I80" s="8"/>
      <c r="J80" s="8"/>
      <c r="K80" s="8">
        <f t="shared" si="12"/>
        <v>0</v>
      </c>
      <c r="L80" s="8">
        <f t="shared" si="39"/>
        <v>0</v>
      </c>
      <c r="M80" s="8">
        <f>IFERROR((I80+J80)*INDEX([1]Sheet1!$A$1:$A$13,MATCH((I80+J80),[1]Sheet1!$B$1:$B$13)),0)</f>
        <v>0</v>
      </c>
      <c r="N80" s="6">
        <f t="shared" si="13"/>
        <v>0</v>
      </c>
      <c r="O80" s="8"/>
      <c r="P80" s="8">
        <f t="shared" si="14"/>
        <v>0</v>
      </c>
      <c r="Q80" s="8">
        <f t="shared" si="15"/>
        <v>0</v>
      </c>
      <c r="R80" s="8">
        <f t="shared" si="40"/>
        <v>0</v>
      </c>
      <c r="S80" s="8">
        <f>IFERROR((O80+P80)*INDEX([1]Sheet1!$A$1:$A$13,MATCH((O80+P80),[1]Sheet1!$B$1:$B$13)),0)</f>
        <v>0</v>
      </c>
      <c r="T80" s="6">
        <f t="shared" si="17"/>
        <v>0</v>
      </c>
      <c r="U80" s="8"/>
      <c r="V80" s="8">
        <f t="shared" si="18"/>
        <v>0</v>
      </c>
      <c r="W80" s="8">
        <f t="shared" si="19"/>
        <v>0</v>
      </c>
      <c r="X80" s="8">
        <f t="shared" si="41"/>
        <v>0</v>
      </c>
      <c r="Y80" s="8">
        <f>IFERROR((U80+V80)*INDEX([1]Sheet1!$A$1:$A$13,MATCH((U80+V80),[1]Sheet1!$B$1:$B$13)),0)</f>
        <v>0</v>
      </c>
      <c r="Z80" s="6">
        <f t="shared" si="21"/>
        <v>0</v>
      </c>
      <c r="AA80" s="8"/>
      <c r="AB80" s="8">
        <f t="shared" si="22"/>
        <v>0</v>
      </c>
      <c r="AC80" s="8">
        <f t="shared" si="23"/>
        <v>0</v>
      </c>
      <c r="AD80" s="8">
        <f t="shared" si="42"/>
        <v>0</v>
      </c>
      <c r="AE80" s="8">
        <f>IFERROR((AA80+AB80)*INDEX([1]Sheet1!$A$1:$A$13,MATCH((AA80+AB80),[1]Sheet1!$B$1:$B$13)),0)</f>
        <v>0</v>
      </c>
      <c r="AF80" s="6">
        <f t="shared" si="25"/>
        <v>0</v>
      </c>
      <c r="AG80" s="8"/>
      <c r="AH80" s="8">
        <f t="shared" si="26"/>
        <v>0</v>
      </c>
      <c r="AI80" s="8">
        <f t="shared" si="27"/>
        <v>0</v>
      </c>
      <c r="AJ80" s="8">
        <f t="shared" si="43"/>
        <v>0</v>
      </c>
      <c r="AK80" s="8">
        <f>IFERROR((AG80+AH80)*INDEX([1]Sheet1!$A$1:$A$13,MATCH((AG80+AH80),[1]Sheet1!$B$1:$B$13)),0)</f>
        <v>0</v>
      </c>
      <c r="AL80" s="6">
        <f t="shared" si="29"/>
        <v>0</v>
      </c>
      <c r="AM80" s="8"/>
      <c r="AN80" s="8">
        <f t="shared" si="30"/>
        <v>0</v>
      </c>
      <c r="AO80" s="8">
        <f t="shared" si="31"/>
        <v>0</v>
      </c>
      <c r="AP80" s="8">
        <f t="shared" si="44"/>
        <v>0</v>
      </c>
      <c r="AQ80" s="8">
        <f>IFERROR((AM80+AN80)*INDEX([1]Sheet1!$A$1:$A$13,MATCH((AM80+AN80),[1]Sheet1!$B$1:$B$13)),0)</f>
        <v>0</v>
      </c>
      <c r="AR80" s="6">
        <f t="shared" si="32"/>
        <v>0</v>
      </c>
      <c r="AS80" s="8"/>
      <c r="AT80" s="8">
        <f t="shared" si="33"/>
        <v>0</v>
      </c>
      <c r="AU80" s="8">
        <f t="shared" si="34"/>
        <v>0</v>
      </c>
      <c r="AV80" s="8">
        <f t="shared" si="45"/>
        <v>0</v>
      </c>
      <c r="AW80" s="8">
        <f>IFERROR((AS80+AT80)*INDEX([1]Sheet1!$A$1:$A$13,MATCH((AS80+AT80),[1]Sheet1!$B$1:$B$13)),0)</f>
        <v>0</v>
      </c>
      <c r="BC80" s="1" t="str">
        <f t="shared" si="35"/>
        <v/>
      </c>
    </row>
    <row r="81" spans="1:55" ht="18" customHeight="1" x14ac:dyDescent="0.2">
      <c r="A81" s="4"/>
      <c r="B81" s="6"/>
      <c r="C81" s="6"/>
      <c r="D81" s="6"/>
      <c r="E81" s="6"/>
      <c r="F81" s="4"/>
      <c r="G81" s="6"/>
      <c r="H81" s="6">
        <f t="shared" si="11"/>
        <v>0</v>
      </c>
      <c r="I81" s="8"/>
      <c r="J81" s="8"/>
      <c r="K81" s="8">
        <f t="shared" si="12"/>
        <v>0</v>
      </c>
      <c r="L81" s="8">
        <f t="shared" si="39"/>
        <v>0</v>
      </c>
      <c r="M81" s="8">
        <f>IFERROR((I81+J81)*INDEX([1]Sheet1!$A$1:$A$13,MATCH((I81+J81),[1]Sheet1!$B$1:$B$13)),0)</f>
        <v>0</v>
      </c>
      <c r="N81" s="6">
        <f t="shared" si="13"/>
        <v>0</v>
      </c>
      <c r="O81" s="8"/>
      <c r="P81" s="8">
        <f t="shared" si="14"/>
        <v>0</v>
      </c>
      <c r="Q81" s="8">
        <f t="shared" si="15"/>
        <v>0</v>
      </c>
      <c r="R81" s="8">
        <f t="shared" si="40"/>
        <v>0</v>
      </c>
      <c r="S81" s="8">
        <f>IFERROR((O81+P81)*INDEX([1]Sheet1!$A$1:$A$13,MATCH((O81+P81),[1]Sheet1!$B$1:$B$13)),0)</f>
        <v>0</v>
      </c>
      <c r="T81" s="6">
        <f t="shared" si="17"/>
        <v>0</v>
      </c>
      <c r="U81" s="8"/>
      <c r="V81" s="8">
        <f t="shared" si="18"/>
        <v>0</v>
      </c>
      <c r="W81" s="8">
        <f t="shared" si="19"/>
        <v>0</v>
      </c>
      <c r="X81" s="8">
        <f t="shared" si="41"/>
        <v>0</v>
      </c>
      <c r="Y81" s="8">
        <f>IFERROR((U81+V81)*INDEX([1]Sheet1!$A$1:$A$13,MATCH((U81+V81),[1]Sheet1!$B$1:$B$13)),0)</f>
        <v>0</v>
      </c>
      <c r="Z81" s="6">
        <f t="shared" si="21"/>
        <v>0</v>
      </c>
      <c r="AA81" s="8"/>
      <c r="AB81" s="8">
        <f t="shared" si="22"/>
        <v>0</v>
      </c>
      <c r="AC81" s="8">
        <f t="shared" si="23"/>
        <v>0</v>
      </c>
      <c r="AD81" s="8">
        <f t="shared" si="42"/>
        <v>0</v>
      </c>
      <c r="AE81" s="8">
        <f>IFERROR((AA81+AB81)*INDEX([1]Sheet1!$A$1:$A$13,MATCH((AA81+AB81),[1]Sheet1!$B$1:$B$13)),0)</f>
        <v>0</v>
      </c>
      <c r="AF81" s="6">
        <f t="shared" si="25"/>
        <v>0</v>
      </c>
      <c r="AG81" s="8"/>
      <c r="AH81" s="8">
        <f t="shared" si="26"/>
        <v>0</v>
      </c>
      <c r="AI81" s="8">
        <f t="shared" si="27"/>
        <v>0</v>
      </c>
      <c r="AJ81" s="8">
        <f t="shared" si="43"/>
        <v>0</v>
      </c>
      <c r="AK81" s="8">
        <f>IFERROR((AG81+AH81)*INDEX([1]Sheet1!$A$1:$A$13,MATCH((AG81+AH81),[1]Sheet1!$B$1:$B$13)),0)</f>
        <v>0</v>
      </c>
      <c r="AL81" s="6">
        <f t="shared" si="29"/>
        <v>0</v>
      </c>
      <c r="AM81" s="8"/>
      <c r="AN81" s="8">
        <f t="shared" si="30"/>
        <v>0</v>
      </c>
      <c r="AO81" s="8">
        <f t="shared" si="31"/>
        <v>0</v>
      </c>
      <c r="AP81" s="8">
        <f t="shared" si="44"/>
        <v>0</v>
      </c>
      <c r="AQ81" s="8">
        <f>IFERROR((AM81+AN81)*INDEX([1]Sheet1!$A$1:$A$13,MATCH((AM81+AN81),[1]Sheet1!$B$1:$B$13)),0)</f>
        <v>0</v>
      </c>
      <c r="AR81" s="6">
        <f t="shared" si="32"/>
        <v>0</v>
      </c>
      <c r="AS81" s="8"/>
      <c r="AT81" s="8">
        <f t="shared" si="33"/>
        <v>0</v>
      </c>
      <c r="AU81" s="8">
        <f t="shared" si="34"/>
        <v>0</v>
      </c>
      <c r="AV81" s="8">
        <f t="shared" si="45"/>
        <v>0</v>
      </c>
      <c r="AW81" s="8">
        <f>IFERROR((AS81+AT81)*INDEX([1]Sheet1!$A$1:$A$13,MATCH((AS81+AT81),[1]Sheet1!$B$1:$B$13)),0)</f>
        <v>0</v>
      </c>
      <c r="BC81" s="1" t="str">
        <f t="shared" si="35"/>
        <v/>
      </c>
    </row>
    <row r="82" spans="1:55" ht="18" customHeight="1" x14ac:dyDescent="0.2">
      <c r="A82" s="4"/>
      <c r="B82" s="6"/>
      <c r="C82" s="6"/>
      <c r="D82" s="6"/>
      <c r="E82" s="6"/>
      <c r="F82" s="4"/>
      <c r="G82" s="6"/>
      <c r="H82" s="6">
        <f t="shared" si="11"/>
        <v>0</v>
      </c>
      <c r="I82" s="8"/>
      <c r="J82" s="8"/>
      <c r="K82" s="8">
        <f t="shared" si="12"/>
        <v>0</v>
      </c>
      <c r="L82" s="8">
        <f t="shared" si="39"/>
        <v>0</v>
      </c>
      <c r="M82" s="8">
        <f>IFERROR((I82+J82)*INDEX([1]Sheet1!$A$1:$A$13,MATCH((I82+J82),[1]Sheet1!$B$1:$B$13)),0)</f>
        <v>0</v>
      </c>
      <c r="N82" s="6">
        <f t="shared" si="13"/>
        <v>0</v>
      </c>
      <c r="O82" s="8"/>
      <c r="P82" s="8">
        <f t="shared" si="14"/>
        <v>0</v>
      </c>
      <c r="Q82" s="8">
        <f t="shared" si="15"/>
        <v>0</v>
      </c>
      <c r="R82" s="8">
        <f t="shared" si="40"/>
        <v>0</v>
      </c>
      <c r="S82" s="8">
        <f>IFERROR((O82+P82)*INDEX([1]Sheet1!$A$1:$A$13,MATCH((O82+P82),[1]Sheet1!$B$1:$B$13)),0)</f>
        <v>0</v>
      </c>
      <c r="T82" s="6">
        <f t="shared" si="17"/>
        <v>0</v>
      </c>
      <c r="U82" s="8"/>
      <c r="V82" s="8">
        <f t="shared" si="18"/>
        <v>0</v>
      </c>
      <c r="W82" s="8">
        <f t="shared" si="19"/>
        <v>0</v>
      </c>
      <c r="X82" s="8">
        <f t="shared" si="41"/>
        <v>0</v>
      </c>
      <c r="Y82" s="8">
        <f>IFERROR((U82+V82)*INDEX([1]Sheet1!$A$1:$A$13,MATCH((U82+V82),[1]Sheet1!$B$1:$B$13)),0)</f>
        <v>0</v>
      </c>
      <c r="Z82" s="6">
        <f t="shared" si="21"/>
        <v>0</v>
      </c>
      <c r="AA82" s="8"/>
      <c r="AB82" s="8">
        <f t="shared" si="22"/>
        <v>0</v>
      </c>
      <c r="AC82" s="8">
        <f t="shared" si="23"/>
        <v>0</v>
      </c>
      <c r="AD82" s="8">
        <f t="shared" si="42"/>
        <v>0</v>
      </c>
      <c r="AE82" s="8">
        <f>IFERROR((AA82+AB82)*INDEX([1]Sheet1!$A$1:$A$13,MATCH((AA82+AB82),[1]Sheet1!$B$1:$B$13)),0)</f>
        <v>0</v>
      </c>
      <c r="AF82" s="6">
        <f t="shared" si="25"/>
        <v>0</v>
      </c>
      <c r="AG82" s="8"/>
      <c r="AH82" s="8">
        <f t="shared" si="26"/>
        <v>0</v>
      </c>
      <c r="AI82" s="8">
        <f t="shared" si="27"/>
        <v>0</v>
      </c>
      <c r="AJ82" s="8">
        <f t="shared" si="43"/>
        <v>0</v>
      </c>
      <c r="AK82" s="8">
        <f>IFERROR((AG82+AH82)*INDEX([1]Sheet1!$A$1:$A$13,MATCH((AG82+AH82),[1]Sheet1!$B$1:$B$13)),0)</f>
        <v>0</v>
      </c>
      <c r="AL82" s="6">
        <f t="shared" si="29"/>
        <v>0</v>
      </c>
      <c r="AM82" s="8"/>
      <c r="AN82" s="8">
        <f t="shared" si="30"/>
        <v>0</v>
      </c>
      <c r="AO82" s="8">
        <f t="shared" si="31"/>
        <v>0</v>
      </c>
      <c r="AP82" s="8">
        <f t="shared" si="44"/>
        <v>0</v>
      </c>
      <c r="AQ82" s="8">
        <f>IFERROR((AM82+AN82)*INDEX([1]Sheet1!$A$1:$A$13,MATCH((AM82+AN82),[1]Sheet1!$B$1:$B$13)),0)</f>
        <v>0</v>
      </c>
      <c r="AR82" s="6">
        <f t="shared" si="32"/>
        <v>0</v>
      </c>
      <c r="AS82" s="8"/>
      <c r="AT82" s="8">
        <f t="shared" si="33"/>
        <v>0</v>
      </c>
      <c r="AU82" s="8">
        <f t="shared" si="34"/>
        <v>0</v>
      </c>
      <c r="AV82" s="8">
        <f t="shared" si="45"/>
        <v>0</v>
      </c>
      <c r="AW82" s="8">
        <f>IFERROR((AS82+AT82)*INDEX([1]Sheet1!$A$1:$A$13,MATCH((AS82+AT82),[1]Sheet1!$B$1:$B$13)),0)</f>
        <v>0</v>
      </c>
      <c r="BC82" s="1" t="str">
        <f t="shared" si="35"/>
        <v/>
      </c>
    </row>
    <row r="83" spans="1:55" ht="18" customHeight="1" x14ac:dyDescent="0.2">
      <c r="A83" s="4"/>
      <c r="B83" s="5"/>
      <c r="C83" s="6"/>
      <c r="D83" s="6"/>
      <c r="E83" s="6"/>
      <c r="F83" s="4"/>
      <c r="G83" s="6"/>
      <c r="H83" s="6">
        <f t="shared" si="11"/>
        <v>0</v>
      </c>
      <c r="I83" s="8"/>
      <c r="J83" s="8"/>
      <c r="K83" s="8">
        <f t="shared" si="12"/>
        <v>0</v>
      </c>
      <c r="L83" s="8">
        <f t="shared" si="39"/>
        <v>0</v>
      </c>
      <c r="M83" s="8">
        <f>IFERROR((I83+J83)*INDEX([1]Sheet1!$A$1:$A$13,MATCH((I83+J83),[1]Sheet1!$B$1:$B$13)),0)</f>
        <v>0</v>
      </c>
      <c r="N83" s="6">
        <f t="shared" si="13"/>
        <v>0</v>
      </c>
      <c r="O83" s="8"/>
      <c r="P83" s="8">
        <f t="shared" si="14"/>
        <v>0</v>
      </c>
      <c r="Q83" s="8">
        <f t="shared" si="15"/>
        <v>0</v>
      </c>
      <c r="R83" s="8">
        <f t="shared" si="40"/>
        <v>0</v>
      </c>
      <c r="S83" s="8">
        <f>IFERROR((O83+P83)*INDEX([1]Sheet1!$A$1:$A$13,MATCH((O83+P83),[1]Sheet1!$B$1:$B$13)),0)</f>
        <v>0</v>
      </c>
      <c r="T83" s="6">
        <f t="shared" si="17"/>
        <v>0</v>
      </c>
      <c r="U83" s="8"/>
      <c r="V83" s="8">
        <f t="shared" si="18"/>
        <v>0</v>
      </c>
      <c r="W83" s="8">
        <f t="shared" si="19"/>
        <v>0</v>
      </c>
      <c r="X83" s="8">
        <f t="shared" si="41"/>
        <v>0</v>
      </c>
      <c r="Y83" s="8">
        <f>IFERROR((U83+V83)*INDEX([1]Sheet1!$A$1:$A$13,MATCH((U83+V83),[1]Sheet1!$B$1:$B$13)),0)</f>
        <v>0</v>
      </c>
      <c r="Z83" s="6">
        <f t="shared" si="21"/>
        <v>0</v>
      </c>
      <c r="AA83" s="8"/>
      <c r="AB83" s="8">
        <f t="shared" si="22"/>
        <v>0</v>
      </c>
      <c r="AC83" s="8">
        <f t="shared" si="23"/>
        <v>0</v>
      </c>
      <c r="AD83" s="8">
        <f t="shared" si="42"/>
        <v>0</v>
      </c>
      <c r="AE83" s="8">
        <f>IFERROR((AA83+AB83)*INDEX([1]Sheet1!$A$1:$A$13,MATCH((AA83+AB83),[1]Sheet1!$B$1:$B$13)),0)</f>
        <v>0</v>
      </c>
      <c r="AF83" s="6">
        <f t="shared" si="25"/>
        <v>0</v>
      </c>
      <c r="AG83" s="8"/>
      <c r="AH83" s="8">
        <f t="shared" si="26"/>
        <v>0</v>
      </c>
      <c r="AI83" s="8">
        <f t="shared" si="27"/>
        <v>0</v>
      </c>
      <c r="AJ83" s="8">
        <f t="shared" si="43"/>
        <v>0</v>
      </c>
      <c r="AK83" s="8">
        <f>IFERROR((AG83+AH83)*INDEX([1]Sheet1!$A$1:$A$13,MATCH((AG83+AH83),[1]Sheet1!$B$1:$B$13)),0)</f>
        <v>0</v>
      </c>
      <c r="AL83" s="6">
        <f t="shared" si="29"/>
        <v>0</v>
      </c>
      <c r="AM83" s="8"/>
      <c r="AN83" s="8">
        <f t="shared" si="30"/>
        <v>0</v>
      </c>
      <c r="AO83" s="8">
        <f t="shared" si="31"/>
        <v>0</v>
      </c>
      <c r="AP83" s="8">
        <f t="shared" si="44"/>
        <v>0</v>
      </c>
      <c r="AQ83" s="8">
        <f>IFERROR((AM83+AN83)*INDEX([1]Sheet1!$A$1:$A$13,MATCH((AM83+AN83),[1]Sheet1!$B$1:$B$13)),0)</f>
        <v>0</v>
      </c>
      <c r="AR83" s="6">
        <f t="shared" si="32"/>
        <v>0</v>
      </c>
      <c r="AS83" s="8"/>
      <c r="AT83" s="8">
        <f t="shared" si="33"/>
        <v>0</v>
      </c>
      <c r="AU83" s="8">
        <f t="shared" si="34"/>
        <v>0</v>
      </c>
      <c r="AV83" s="8">
        <f t="shared" si="45"/>
        <v>0</v>
      </c>
      <c r="AW83" s="8">
        <f>IFERROR((AS83+AT83)*INDEX([1]Sheet1!$A$1:$A$13,MATCH((AS83+AT83),[1]Sheet1!$B$1:$B$13)),0)</f>
        <v>0</v>
      </c>
      <c r="BC83" s="1" t="str">
        <f t="shared" si="35"/>
        <v/>
      </c>
    </row>
    <row r="84" spans="1:55" ht="18" customHeight="1" x14ac:dyDescent="0.2">
      <c r="A84" s="4"/>
      <c r="B84" s="6"/>
      <c r="C84" s="6"/>
      <c r="D84" s="6"/>
      <c r="E84" s="6"/>
      <c r="F84" s="4"/>
      <c r="G84" s="6"/>
      <c r="H84" s="6">
        <f t="shared" si="11"/>
        <v>0</v>
      </c>
      <c r="I84" s="8"/>
      <c r="J84" s="8"/>
      <c r="K84" s="8">
        <f t="shared" si="12"/>
        <v>0</v>
      </c>
      <c r="L84" s="8">
        <f t="shared" si="39"/>
        <v>0</v>
      </c>
      <c r="M84" s="8">
        <f>IFERROR((I84+J84)*INDEX([1]Sheet1!$A$1:$A$13,MATCH((I84+J84),[1]Sheet1!$B$1:$B$13)),0)</f>
        <v>0</v>
      </c>
      <c r="N84" s="6">
        <f t="shared" si="13"/>
        <v>0</v>
      </c>
      <c r="O84" s="8"/>
      <c r="P84" s="8">
        <f t="shared" si="14"/>
        <v>0</v>
      </c>
      <c r="Q84" s="8">
        <f t="shared" si="15"/>
        <v>0</v>
      </c>
      <c r="R84" s="8">
        <f t="shared" si="40"/>
        <v>0</v>
      </c>
      <c r="S84" s="8">
        <f>IFERROR((O84+P84)*INDEX([1]Sheet1!$A$1:$A$13,MATCH((O84+P84),[1]Sheet1!$B$1:$B$13)),0)</f>
        <v>0</v>
      </c>
      <c r="T84" s="6">
        <f t="shared" si="17"/>
        <v>0</v>
      </c>
      <c r="U84" s="8"/>
      <c r="V84" s="8">
        <f t="shared" si="18"/>
        <v>0</v>
      </c>
      <c r="W84" s="8">
        <f t="shared" si="19"/>
        <v>0</v>
      </c>
      <c r="X84" s="8">
        <f t="shared" si="41"/>
        <v>0</v>
      </c>
      <c r="Y84" s="8">
        <f>IFERROR((U84+V84)*INDEX([1]Sheet1!$A$1:$A$13,MATCH((U84+V84),[1]Sheet1!$B$1:$B$13)),0)</f>
        <v>0</v>
      </c>
      <c r="Z84" s="6">
        <f t="shared" si="21"/>
        <v>0</v>
      </c>
      <c r="AA84" s="8"/>
      <c r="AB84" s="8">
        <f t="shared" si="22"/>
        <v>0</v>
      </c>
      <c r="AC84" s="8">
        <f t="shared" si="23"/>
        <v>0</v>
      </c>
      <c r="AD84" s="8">
        <f t="shared" si="42"/>
        <v>0</v>
      </c>
      <c r="AE84" s="8">
        <f>IFERROR((AA84+AB84)*INDEX([1]Sheet1!$A$1:$A$13,MATCH((AA84+AB84),[1]Sheet1!$B$1:$B$13)),0)</f>
        <v>0</v>
      </c>
      <c r="AF84" s="6">
        <f t="shared" si="25"/>
        <v>0</v>
      </c>
      <c r="AG84" s="8"/>
      <c r="AH84" s="8">
        <f t="shared" si="26"/>
        <v>0</v>
      </c>
      <c r="AI84" s="8">
        <f t="shared" si="27"/>
        <v>0</v>
      </c>
      <c r="AJ84" s="8">
        <f t="shared" si="43"/>
        <v>0</v>
      </c>
      <c r="AK84" s="8">
        <f>IFERROR((AG84+AH84)*INDEX([1]Sheet1!$A$1:$A$13,MATCH((AG84+AH84),[1]Sheet1!$B$1:$B$13)),0)</f>
        <v>0</v>
      </c>
      <c r="AL84" s="6">
        <f t="shared" si="29"/>
        <v>0</v>
      </c>
      <c r="AM84" s="8"/>
      <c r="AN84" s="8">
        <f t="shared" si="30"/>
        <v>0</v>
      </c>
      <c r="AO84" s="8">
        <f t="shared" si="31"/>
        <v>0</v>
      </c>
      <c r="AP84" s="8">
        <f t="shared" si="44"/>
        <v>0</v>
      </c>
      <c r="AQ84" s="8">
        <f>IFERROR((AM84+AN84)*INDEX([1]Sheet1!$A$1:$A$13,MATCH((AM84+AN84),[1]Sheet1!$B$1:$B$13)),0)</f>
        <v>0</v>
      </c>
      <c r="AR84" s="6">
        <f t="shared" si="32"/>
        <v>0</v>
      </c>
      <c r="AS84" s="8"/>
      <c r="AT84" s="8">
        <f t="shared" si="33"/>
        <v>0</v>
      </c>
      <c r="AU84" s="8">
        <f t="shared" si="34"/>
        <v>0</v>
      </c>
      <c r="AV84" s="8">
        <f t="shared" si="45"/>
        <v>0</v>
      </c>
      <c r="AW84" s="8">
        <f>IFERROR((AS84+AT84)*INDEX([1]Sheet1!$A$1:$A$13,MATCH((AS84+AT84),[1]Sheet1!$B$1:$B$13)),0)</f>
        <v>0</v>
      </c>
      <c r="BC84" s="1" t="str">
        <f t="shared" si="35"/>
        <v/>
      </c>
    </row>
    <row r="85" spans="1:55" ht="18" customHeight="1" x14ac:dyDescent="0.2">
      <c r="A85" s="4"/>
      <c r="B85" s="6"/>
      <c r="C85" s="6"/>
      <c r="D85" s="6"/>
      <c r="E85" s="6"/>
      <c r="F85" s="4"/>
      <c r="G85" s="7"/>
      <c r="H85" s="6">
        <f t="shared" si="11"/>
        <v>0</v>
      </c>
      <c r="I85" s="8"/>
      <c r="J85" s="8"/>
      <c r="K85" s="8">
        <f t="shared" si="12"/>
        <v>0</v>
      </c>
      <c r="L85" s="8">
        <f t="shared" si="39"/>
        <v>0</v>
      </c>
      <c r="M85" s="8">
        <f>IFERROR((I85+J85)*INDEX([1]Sheet1!$A$1:$A$13,MATCH((I85+J85),[1]Sheet1!$B$1:$B$13)),0)</f>
        <v>0</v>
      </c>
      <c r="N85" s="6">
        <f t="shared" si="13"/>
        <v>0</v>
      </c>
      <c r="O85" s="8"/>
      <c r="P85" s="8">
        <f t="shared" si="14"/>
        <v>0</v>
      </c>
      <c r="Q85" s="8">
        <f t="shared" si="15"/>
        <v>0</v>
      </c>
      <c r="R85" s="8">
        <f t="shared" si="40"/>
        <v>0</v>
      </c>
      <c r="S85" s="8">
        <f>IFERROR((O85+P85)*INDEX([1]Sheet1!$A$1:$A$13,MATCH((O85+P85),[1]Sheet1!$B$1:$B$13)),0)</f>
        <v>0</v>
      </c>
      <c r="T85" s="6">
        <f t="shared" si="17"/>
        <v>0</v>
      </c>
      <c r="U85" s="8"/>
      <c r="V85" s="8">
        <f t="shared" si="18"/>
        <v>0</v>
      </c>
      <c r="W85" s="8">
        <f t="shared" si="19"/>
        <v>0</v>
      </c>
      <c r="X85" s="8">
        <f t="shared" si="41"/>
        <v>0</v>
      </c>
      <c r="Y85" s="8">
        <f>IFERROR((U85+V85)*INDEX([1]Sheet1!$A$1:$A$13,MATCH((U85+V85),[1]Sheet1!$B$1:$B$13)),0)</f>
        <v>0</v>
      </c>
      <c r="Z85" s="6">
        <f t="shared" si="21"/>
        <v>0</v>
      </c>
      <c r="AA85" s="8"/>
      <c r="AB85" s="8">
        <f t="shared" si="22"/>
        <v>0</v>
      </c>
      <c r="AC85" s="8">
        <f t="shared" si="23"/>
        <v>0</v>
      </c>
      <c r="AD85" s="8">
        <f t="shared" si="42"/>
        <v>0</v>
      </c>
      <c r="AE85" s="8">
        <f>IFERROR((AA85+AB85)*INDEX([1]Sheet1!$A$1:$A$13,MATCH((AA85+AB85),[1]Sheet1!$B$1:$B$13)),0)</f>
        <v>0</v>
      </c>
      <c r="AF85" s="6">
        <f t="shared" si="25"/>
        <v>0</v>
      </c>
      <c r="AG85" s="8"/>
      <c r="AH85" s="8">
        <f t="shared" si="26"/>
        <v>0</v>
      </c>
      <c r="AI85" s="8">
        <f t="shared" si="27"/>
        <v>0</v>
      </c>
      <c r="AJ85" s="8">
        <f t="shared" si="43"/>
        <v>0</v>
      </c>
      <c r="AK85" s="8">
        <f>IFERROR((AG85+AH85)*INDEX([1]Sheet1!$A$1:$A$13,MATCH((AG85+AH85),[1]Sheet1!$B$1:$B$13)),0)</f>
        <v>0</v>
      </c>
      <c r="AL85" s="6">
        <f t="shared" si="29"/>
        <v>0</v>
      </c>
      <c r="AM85" s="8"/>
      <c r="AN85" s="8">
        <f t="shared" si="30"/>
        <v>0</v>
      </c>
      <c r="AO85" s="8">
        <f t="shared" si="31"/>
        <v>0</v>
      </c>
      <c r="AP85" s="8">
        <f t="shared" si="44"/>
        <v>0</v>
      </c>
      <c r="AQ85" s="8">
        <f>IFERROR((AM85+AN85)*INDEX([1]Sheet1!$A$1:$A$13,MATCH((AM85+AN85),[1]Sheet1!$B$1:$B$13)),0)</f>
        <v>0</v>
      </c>
      <c r="AR85" s="6">
        <f t="shared" si="32"/>
        <v>0</v>
      </c>
      <c r="AS85" s="8"/>
      <c r="AT85" s="8">
        <f t="shared" si="33"/>
        <v>0</v>
      </c>
      <c r="AU85" s="8">
        <f t="shared" si="34"/>
        <v>0</v>
      </c>
      <c r="AV85" s="8">
        <f t="shared" si="45"/>
        <v>0</v>
      </c>
      <c r="AW85" s="8">
        <f>IFERROR((AS85+AT85)*INDEX([1]Sheet1!$A$1:$A$13,MATCH((AS85+AT85),[1]Sheet1!$B$1:$B$13)),0)</f>
        <v>0</v>
      </c>
      <c r="BC85" s="1" t="str">
        <f t="shared" si="35"/>
        <v/>
      </c>
    </row>
    <row r="86" spans="1:55" ht="18" customHeight="1" x14ac:dyDescent="0.2">
      <c r="A86" s="4"/>
      <c r="B86" s="6"/>
      <c r="C86" s="6"/>
      <c r="D86" s="6"/>
      <c r="E86" s="6"/>
      <c r="F86" s="4"/>
      <c r="G86" s="7"/>
      <c r="H86" s="6">
        <f t="shared" si="11"/>
        <v>0</v>
      </c>
      <c r="I86" s="8"/>
      <c r="J86" s="8"/>
      <c r="K86" s="8">
        <f t="shared" si="12"/>
        <v>0</v>
      </c>
      <c r="L86" s="8">
        <f t="shared" si="39"/>
        <v>0</v>
      </c>
      <c r="M86" s="8">
        <f>IFERROR((I86+J86)*INDEX([1]Sheet1!$A$1:$A$13,MATCH((I86+J86),[1]Sheet1!$B$1:$B$13)),0)</f>
        <v>0</v>
      </c>
      <c r="N86" s="6">
        <f t="shared" si="13"/>
        <v>0</v>
      </c>
      <c r="O86" s="8"/>
      <c r="P86" s="8">
        <f t="shared" si="14"/>
        <v>0</v>
      </c>
      <c r="Q86" s="8">
        <f t="shared" si="15"/>
        <v>0</v>
      </c>
      <c r="R86" s="8">
        <f t="shared" si="40"/>
        <v>0</v>
      </c>
      <c r="S86" s="8">
        <f>IFERROR((O86+P86)*INDEX([1]Sheet1!$A$1:$A$13,MATCH((O86+P86),[1]Sheet1!$B$1:$B$13)),0)</f>
        <v>0</v>
      </c>
      <c r="T86" s="6">
        <f t="shared" si="17"/>
        <v>0</v>
      </c>
      <c r="U86" s="8"/>
      <c r="V86" s="8">
        <f t="shared" si="18"/>
        <v>0</v>
      </c>
      <c r="W86" s="8">
        <f t="shared" si="19"/>
        <v>0</v>
      </c>
      <c r="X86" s="8">
        <f t="shared" si="41"/>
        <v>0</v>
      </c>
      <c r="Y86" s="8">
        <f>IFERROR((U86+V86)*INDEX([1]Sheet1!$A$1:$A$13,MATCH((U86+V86),[1]Sheet1!$B$1:$B$13)),0)</f>
        <v>0</v>
      </c>
      <c r="Z86" s="6">
        <f t="shared" si="21"/>
        <v>0</v>
      </c>
      <c r="AA86" s="8"/>
      <c r="AB86" s="8">
        <f t="shared" si="22"/>
        <v>0</v>
      </c>
      <c r="AC86" s="8">
        <f t="shared" si="23"/>
        <v>0</v>
      </c>
      <c r="AD86" s="8">
        <f t="shared" si="42"/>
        <v>0</v>
      </c>
      <c r="AE86" s="8">
        <f>IFERROR((AA86+AB86)*INDEX([1]Sheet1!$A$1:$A$13,MATCH((AA86+AB86),[1]Sheet1!$B$1:$B$13)),0)</f>
        <v>0</v>
      </c>
      <c r="AF86" s="6">
        <f t="shared" si="25"/>
        <v>0</v>
      </c>
      <c r="AG86" s="8"/>
      <c r="AH86" s="8">
        <f t="shared" si="26"/>
        <v>0</v>
      </c>
      <c r="AI86" s="8">
        <f t="shared" si="27"/>
        <v>0</v>
      </c>
      <c r="AJ86" s="8">
        <f t="shared" si="43"/>
        <v>0</v>
      </c>
      <c r="AK86" s="8">
        <f>IFERROR((AG86+AH86)*INDEX([1]Sheet1!$A$1:$A$13,MATCH((AG86+AH86),[1]Sheet1!$B$1:$B$13)),0)</f>
        <v>0</v>
      </c>
      <c r="AL86" s="6">
        <f t="shared" si="29"/>
        <v>0</v>
      </c>
      <c r="AM86" s="8"/>
      <c r="AN86" s="8">
        <f t="shared" si="30"/>
        <v>0</v>
      </c>
      <c r="AO86" s="8">
        <f t="shared" si="31"/>
        <v>0</v>
      </c>
      <c r="AP86" s="8">
        <f t="shared" si="44"/>
        <v>0</v>
      </c>
      <c r="AQ86" s="8">
        <f>IFERROR((AM86+AN86)*INDEX([1]Sheet1!$A$1:$A$13,MATCH((AM86+AN86),[1]Sheet1!$B$1:$B$13)),0)</f>
        <v>0</v>
      </c>
      <c r="AR86" s="6">
        <f t="shared" si="32"/>
        <v>0</v>
      </c>
      <c r="AS86" s="8"/>
      <c r="AT86" s="8">
        <f t="shared" si="33"/>
        <v>0</v>
      </c>
      <c r="AU86" s="8">
        <f t="shared" si="34"/>
        <v>0</v>
      </c>
      <c r="AV86" s="8">
        <f t="shared" si="45"/>
        <v>0</v>
      </c>
      <c r="AW86" s="8">
        <f>IFERROR((AS86+AT86)*INDEX([1]Sheet1!$A$1:$A$13,MATCH((AS86+AT86),[1]Sheet1!$B$1:$B$13)),0)</f>
        <v>0</v>
      </c>
      <c r="BC86" s="1" t="str">
        <f t="shared" si="35"/>
        <v/>
      </c>
    </row>
    <row r="87" spans="1:55" ht="18" customHeight="1" x14ac:dyDescent="0.2">
      <c r="A87" s="4"/>
      <c r="B87" s="6"/>
      <c r="C87" s="6"/>
      <c r="D87" s="6"/>
      <c r="E87" s="6"/>
      <c r="F87" s="4"/>
      <c r="G87" s="7"/>
      <c r="H87" s="6">
        <f t="shared" si="11"/>
        <v>0</v>
      </c>
      <c r="I87" s="8"/>
      <c r="J87" s="8"/>
      <c r="K87" s="8">
        <f t="shared" si="12"/>
        <v>0</v>
      </c>
      <c r="L87" s="8">
        <f t="shared" si="39"/>
        <v>0</v>
      </c>
      <c r="M87" s="8">
        <f>IFERROR((I87+J87)*INDEX([1]Sheet1!$A$1:$A$13,MATCH((I87+J87),[1]Sheet1!$B$1:$B$13)),0)</f>
        <v>0</v>
      </c>
      <c r="N87" s="6">
        <f t="shared" si="13"/>
        <v>0</v>
      </c>
      <c r="O87" s="8"/>
      <c r="P87" s="8">
        <f t="shared" si="14"/>
        <v>0</v>
      </c>
      <c r="Q87" s="8">
        <f t="shared" si="15"/>
        <v>0</v>
      </c>
      <c r="R87" s="8">
        <f t="shared" si="40"/>
        <v>0</v>
      </c>
      <c r="S87" s="8">
        <f>IFERROR((O87+P87)*INDEX([1]Sheet1!$A$1:$A$13,MATCH((O87+P87),[1]Sheet1!$B$1:$B$13)),0)</f>
        <v>0</v>
      </c>
      <c r="T87" s="6">
        <f t="shared" si="17"/>
        <v>0</v>
      </c>
      <c r="U87" s="8"/>
      <c r="V87" s="8">
        <f t="shared" si="18"/>
        <v>0</v>
      </c>
      <c r="W87" s="8">
        <f t="shared" si="19"/>
        <v>0</v>
      </c>
      <c r="X87" s="8">
        <f t="shared" si="41"/>
        <v>0</v>
      </c>
      <c r="Y87" s="8">
        <f>IFERROR((U87+V87)*INDEX([1]Sheet1!$A$1:$A$13,MATCH((U87+V87),[1]Sheet1!$B$1:$B$13)),0)</f>
        <v>0</v>
      </c>
      <c r="Z87" s="6">
        <f t="shared" si="21"/>
        <v>0</v>
      </c>
      <c r="AA87" s="8"/>
      <c r="AB87" s="8">
        <f t="shared" si="22"/>
        <v>0</v>
      </c>
      <c r="AC87" s="8">
        <f t="shared" si="23"/>
        <v>0</v>
      </c>
      <c r="AD87" s="8">
        <f t="shared" si="42"/>
        <v>0</v>
      </c>
      <c r="AE87" s="8">
        <f>IFERROR((AA87+AB87)*INDEX([1]Sheet1!$A$1:$A$13,MATCH((AA87+AB87),[1]Sheet1!$B$1:$B$13)),0)</f>
        <v>0</v>
      </c>
      <c r="AF87" s="6">
        <f t="shared" si="25"/>
        <v>0</v>
      </c>
      <c r="AG87" s="8"/>
      <c r="AH87" s="8">
        <f t="shared" si="26"/>
        <v>0</v>
      </c>
      <c r="AI87" s="8">
        <f t="shared" si="27"/>
        <v>0</v>
      </c>
      <c r="AJ87" s="8">
        <f t="shared" si="43"/>
        <v>0</v>
      </c>
      <c r="AK87" s="8">
        <f>IFERROR((AG87+AH87)*INDEX([1]Sheet1!$A$1:$A$13,MATCH((AG87+AH87),[1]Sheet1!$B$1:$B$13)),0)</f>
        <v>0</v>
      </c>
      <c r="AL87" s="6">
        <f t="shared" si="29"/>
        <v>0</v>
      </c>
      <c r="AM87" s="8"/>
      <c r="AN87" s="8">
        <f t="shared" si="30"/>
        <v>0</v>
      </c>
      <c r="AO87" s="8">
        <f t="shared" si="31"/>
        <v>0</v>
      </c>
      <c r="AP87" s="8">
        <f t="shared" si="44"/>
        <v>0</v>
      </c>
      <c r="AQ87" s="8">
        <f>IFERROR((AM87+AN87)*INDEX([1]Sheet1!$A$1:$A$13,MATCH((AM87+AN87),[1]Sheet1!$B$1:$B$13)),0)</f>
        <v>0</v>
      </c>
      <c r="AR87" s="6">
        <f t="shared" si="32"/>
        <v>0</v>
      </c>
      <c r="AS87" s="8"/>
      <c r="AT87" s="8">
        <f t="shared" si="33"/>
        <v>0</v>
      </c>
      <c r="AU87" s="8">
        <f t="shared" si="34"/>
        <v>0</v>
      </c>
      <c r="AV87" s="8">
        <f t="shared" si="45"/>
        <v>0</v>
      </c>
      <c r="AW87" s="8">
        <f>IFERROR((AS87+AT87)*INDEX([1]Sheet1!$A$1:$A$13,MATCH((AS87+AT87),[1]Sheet1!$B$1:$B$13)),0)</f>
        <v>0</v>
      </c>
      <c r="BC87" s="1" t="str">
        <f t="shared" si="35"/>
        <v/>
      </c>
    </row>
    <row r="88" spans="1:55" ht="18" customHeight="1" x14ac:dyDescent="0.2">
      <c r="A88" s="4"/>
      <c r="B88" s="9"/>
      <c r="C88" s="6"/>
      <c r="D88" s="6"/>
      <c r="E88" s="6"/>
      <c r="F88" s="4"/>
      <c r="G88" s="7"/>
      <c r="H88" s="6">
        <f t="shared" si="11"/>
        <v>0</v>
      </c>
      <c r="I88" s="8"/>
      <c r="J88" s="8"/>
      <c r="K88" s="8">
        <f t="shared" si="12"/>
        <v>0</v>
      </c>
      <c r="L88" s="8">
        <f t="shared" si="39"/>
        <v>0</v>
      </c>
      <c r="M88" s="8">
        <f>IFERROR((I88+J88)*INDEX([1]Sheet1!$A$1:$A$13,MATCH((I88+J88),[1]Sheet1!$B$1:$B$13)),0)</f>
        <v>0</v>
      </c>
      <c r="N88" s="6">
        <f t="shared" si="13"/>
        <v>0</v>
      </c>
      <c r="O88" s="8"/>
      <c r="P88" s="8">
        <f t="shared" si="14"/>
        <v>0</v>
      </c>
      <c r="Q88" s="8">
        <f t="shared" si="15"/>
        <v>0</v>
      </c>
      <c r="R88" s="8">
        <f t="shared" si="40"/>
        <v>0</v>
      </c>
      <c r="S88" s="8">
        <f>IFERROR((O88+P88)*INDEX([1]Sheet1!$A$1:$A$13,MATCH((O88+P88),[1]Sheet1!$B$1:$B$13)),0)</f>
        <v>0</v>
      </c>
      <c r="T88" s="6">
        <f t="shared" si="17"/>
        <v>0</v>
      </c>
      <c r="U88" s="8"/>
      <c r="V88" s="8">
        <f t="shared" si="18"/>
        <v>0</v>
      </c>
      <c r="W88" s="8">
        <f t="shared" si="19"/>
        <v>0</v>
      </c>
      <c r="X88" s="8">
        <f t="shared" si="41"/>
        <v>0</v>
      </c>
      <c r="Y88" s="8">
        <f>IFERROR((U88+V88)*INDEX([1]Sheet1!$A$1:$A$13,MATCH((U88+V88),[1]Sheet1!$B$1:$B$13)),0)</f>
        <v>0</v>
      </c>
      <c r="Z88" s="6">
        <f t="shared" si="21"/>
        <v>0</v>
      </c>
      <c r="AA88" s="8"/>
      <c r="AB88" s="8">
        <f t="shared" si="22"/>
        <v>0</v>
      </c>
      <c r="AC88" s="8">
        <f t="shared" si="23"/>
        <v>0</v>
      </c>
      <c r="AD88" s="8">
        <f t="shared" si="42"/>
        <v>0</v>
      </c>
      <c r="AE88" s="8">
        <f>IFERROR((AA88+AB88)*INDEX([1]Sheet1!$A$1:$A$13,MATCH((AA88+AB88),[1]Sheet1!$B$1:$B$13)),0)</f>
        <v>0</v>
      </c>
      <c r="AF88" s="6">
        <f t="shared" si="25"/>
        <v>0</v>
      </c>
      <c r="AG88" s="8"/>
      <c r="AH88" s="8">
        <f t="shared" si="26"/>
        <v>0</v>
      </c>
      <c r="AI88" s="8">
        <f t="shared" si="27"/>
        <v>0</v>
      </c>
      <c r="AJ88" s="8">
        <f t="shared" si="43"/>
        <v>0</v>
      </c>
      <c r="AK88" s="8">
        <f>IFERROR((AG88+AH88)*INDEX([1]Sheet1!$A$1:$A$13,MATCH((AG88+AH88),[1]Sheet1!$B$1:$B$13)),0)</f>
        <v>0</v>
      </c>
      <c r="AL88" s="6">
        <f t="shared" si="29"/>
        <v>0</v>
      </c>
      <c r="AM88" s="8"/>
      <c r="AN88" s="8">
        <f t="shared" si="30"/>
        <v>0</v>
      </c>
      <c r="AO88" s="8">
        <f t="shared" si="31"/>
        <v>0</v>
      </c>
      <c r="AP88" s="8">
        <f t="shared" si="44"/>
        <v>0</v>
      </c>
      <c r="AQ88" s="8">
        <f>IFERROR((AM88+AN88)*INDEX([1]Sheet1!$A$1:$A$13,MATCH((AM88+AN88),[1]Sheet1!$B$1:$B$13)),0)</f>
        <v>0</v>
      </c>
      <c r="AR88" s="6">
        <f t="shared" si="32"/>
        <v>0</v>
      </c>
      <c r="AS88" s="8"/>
      <c r="AT88" s="8">
        <f t="shared" si="33"/>
        <v>0</v>
      </c>
      <c r="AU88" s="8">
        <f t="shared" si="34"/>
        <v>0</v>
      </c>
      <c r="AV88" s="8">
        <f t="shared" si="45"/>
        <v>0</v>
      </c>
      <c r="AW88" s="8">
        <f>IFERROR((AS88+AT88)*INDEX([1]Sheet1!$A$1:$A$13,MATCH((AS88+AT88),[1]Sheet1!$B$1:$B$13)),0)</f>
        <v>0</v>
      </c>
      <c r="BC88" s="1" t="str">
        <f t="shared" si="35"/>
        <v/>
      </c>
    </row>
    <row r="89" spans="1:55" ht="18" customHeight="1" x14ac:dyDescent="0.2">
      <c r="A89" s="4"/>
      <c r="B89" s="6"/>
      <c r="C89" s="6"/>
      <c r="D89" s="6"/>
      <c r="E89" s="6"/>
      <c r="F89" s="4"/>
      <c r="G89" s="7"/>
      <c r="H89" s="6">
        <f t="shared" ref="H89:H152" si="46">$H$23*$E89</f>
        <v>0</v>
      </c>
      <c r="I89" s="8"/>
      <c r="J89" s="8"/>
      <c r="K89" s="8">
        <f t="shared" ref="K89:K152" si="47">(I89+J89)*$E89</f>
        <v>0</v>
      </c>
      <c r="L89" s="8">
        <f t="shared" si="39"/>
        <v>0</v>
      </c>
      <c r="M89" s="8">
        <f>IFERROR((I89+J89)*INDEX([1]Sheet1!$A$1:$A$13,MATCH((I89+J89),[1]Sheet1!$B$1:$B$13)),0)</f>
        <v>0</v>
      </c>
      <c r="N89" s="6">
        <f t="shared" ref="N89:N152" si="48">$N$23*$E89</f>
        <v>0</v>
      </c>
      <c r="O89" s="8"/>
      <c r="P89" s="8">
        <f t="shared" ref="P89:P152" si="49">IFERROR(($J89/$I89)*O89,0)</f>
        <v>0</v>
      </c>
      <c r="Q89" s="8">
        <f t="shared" ref="Q89:Q152" si="50">(O89+P89)*$E89</f>
        <v>0</v>
      </c>
      <c r="R89" s="8">
        <f t="shared" si="40"/>
        <v>0</v>
      </c>
      <c r="S89" s="8">
        <f>IFERROR((O89+P89)*INDEX([1]Sheet1!$A$1:$A$13,MATCH((O89+P89),[1]Sheet1!$B$1:$B$13)),0)</f>
        <v>0</v>
      </c>
      <c r="T89" s="6">
        <f t="shared" ref="T89:T152" si="51">$T$23*$E89</f>
        <v>0</v>
      </c>
      <c r="U89" s="8"/>
      <c r="V89" s="8">
        <f t="shared" ref="V89:V152" si="52">IFERROR(($J89/$I89)*U89,0)</f>
        <v>0</v>
      </c>
      <c r="W89" s="8">
        <f t="shared" ref="W89:W152" si="53">(U89+V89)*$E89</f>
        <v>0</v>
      </c>
      <c r="X89" s="8">
        <f t="shared" si="41"/>
        <v>0</v>
      </c>
      <c r="Y89" s="8">
        <f>IFERROR((U89+V89)*INDEX([1]Sheet1!$A$1:$A$13,MATCH((U89+V89),[1]Sheet1!$B$1:$B$13)),0)</f>
        <v>0</v>
      </c>
      <c r="Z89" s="6">
        <f t="shared" ref="Z89:Z152" si="54">$Z$23*$E89</f>
        <v>0</v>
      </c>
      <c r="AA89" s="8"/>
      <c r="AB89" s="8">
        <f t="shared" ref="AB89:AB152" si="55">IFERROR(($J89/$I89)*AA89,0)</f>
        <v>0</v>
      </c>
      <c r="AC89" s="8">
        <f t="shared" ref="AC89:AC152" si="56">(AA89+AB89)*$E89</f>
        <v>0</v>
      </c>
      <c r="AD89" s="8">
        <f t="shared" si="42"/>
        <v>0</v>
      </c>
      <c r="AE89" s="8">
        <f>IFERROR((AA89+AB89)*INDEX([1]Sheet1!$A$1:$A$13,MATCH((AA89+AB89),[1]Sheet1!$B$1:$B$13)),0)</f>
        <v>0</v>
      </c>
      <c r="AF89" s="6">
        <f t="shared" ref="AF89:AF152" si="57">$AF$23*$E89</f>
        <v>0</v>
      </c>
      <c r="AG89" s="8"/>
      <c r="AH89" s="8">
        <f t="shared" ref="AH89:AH152" si="58">IFERROR(($J89/$I89)*AG89,0)</f>
        <v>0</v>
      </c>
      <c r="AI89" s="8">
        <f t="shared" ref="AI89:AI152" si="59">(AG89+AH89)*$E89</f>
        <v>0</v>
      </c>
      <c r="AJ89" s="8">
        <f t="shared" si="43"/>
        <v>0</v>
      </c>
      <c r="AK89" s="8">
        <f>IFERROR((AG89+AH89)*INDEX([1]Sheet1!$A$1:$A$13,MATCH((AG89+AH89),[1]Sheet1!$B$1:$B$13)),0)</f>
        <v>0</v>
      </c>
      <c r="AL89" s="6">
        <f t="shared" ref="AL89:AL152" si="60">$AL$23*$E89</f>
        <v>0</v>
      </c>
      <c r="AM89" s="8"/>
      <c r="AN89" s="8">
        <f t="shared" ref="AN89:AN152" si="61">IFERROR(($J89/$I89)*AM89,0)</f>
        <v>0</v>
      </c>
      <c r="AO89" s="8">
        <f t="shared" ref="AO89:AO152" si="62">(AM89+AN89)*$E89</f>
        <v>0</v>
      </c>
      <c r="AP89" s="8">
        <f t="shared" si="44"/>
        <v>0</v>
      </c>
      <c r="AQ89" s="8">
        <f>IFERROR((AM89+AN89)*INDEX([1]Sheet1!$A$1:$A$13,MATCH((AM89+AN89),[1]Sheet1!$B$1:$B$13)),0)</f>
        <v>0</v>
      </c>
      <c r="AR89" s="6">
        <f t="shared" ref="AR89:AR152" si="63">$AR$23*$E89</f>
        <v>0</v>
      </c>
      <c r="AS89" s="8"/>
      <c r="AT89" s="8">
        <f t="shared" ref="AT89:AT152" si="64">IFERROR(($J89/$I89)*AS89,0)</f>
        <v>0</v>
      </c>
      <c r="AU89" s="8">
        <f t="shared" ref="AU89:AU152" si="65">(AS89+AT89)*$E89</f>
        <v>0</v>
      </c>
      <c r="AV89" s="8">
        <f t="shared" si="45"/>
        <v>0</v>
      </c>
      <c r="AW89" s="8">
        <f>IFERROR((AS89+AT89)*INDEX([1]Sheet1!$A$1:$A$13,MATCH((AS89+AT89),[1]Sheet1!$B$1:$B$13)),0)</f>
        <v>0</v>
      </c>
      <c r="BC89" s="1" t="str">
        <f t="shared" ref="BC89:BC152" si="66">IF(E89&gt;0,(IF(I89&gt;0,"","ERROR")),"")</f>
        <v/>
      </c>
    </row>
    <row r="90" spans="1:55" ht="18" customHeight="1" x14ac:dyDescent="0.2">
      <c r="A90" s="4"/>
      <c r="B90" s="9"/>
      <c r="C90" s="6"/>
      <c r="D90" s="6"/>
      <c r="E90" s="6"/>
      <c r="F90" s="4"/>
      <c r="G90" s="7"/>
      <c r="H90" s="6">
        <f t="shared" si="46"/>
        <v>0</v>
      </c>
      <c r="I90" s="8"/>
      <c r="J90" s="8"/>
      <c r="K90" s="8">
        <f t="shared" si="47"/>
        <v>0</v>
      </c>
      <c r="L90" s="8">
        <f t="shared" si="39"/>
        <v>0</v>
      </c>
      <c r="M90" s="8">
        <f>IFERROR((I90+J90)*INDEX([1]Sheet1!$A$1:$A$13,MATCH((I90+J90),[1]Sheet1!$B$1:$B$13)),0)</f>
        <v>0</v>
      </c>
      <c r="N90" s="6">
        <f t="shared" si="48"/>
        <v>0</v>
      </c>
      <c r="O90" s="8"/>
      <c r="P90" s="8">
        <f t="shared" si="49"/>
        <v>0</v>
      </c>
      <c r="Q90" s="8">
        <f t="shared" si="50"/>
        <v>0</v>
      </c>
      <c r="R90" s="8">
        <f t="shared" si="40"/>
        <v>0</v>
      </c>
      <c r="S90" s="8">
        <f>IFERROR((O90+P90)*INDEX([1]Sheet1!$A$1:$A$13,MATCH((O90+P90),[1]Sheet1!$B$1:$B$13)),0)</f>
        <v>0</v>
      </c>
      <c r="T90" s="6">
        <f t="shared" si="51"/>
        <v>0</v>
      </c>
      <c r="U90" s="8"/>
      <c r="V90" s="8">
        <f t="shared" si="52"/>
        <v>0</v>
      </c>
      <c r="W90" s="8">
        <f t="shared" si="53"/>
        <v>0</v>
      </c>
      <c r="X90" s="8">
        <f t="shared" si="41"/>
        <v>0</v>
      </c>
      <c r="Y90" s="8">
        <f>IFERROR((U90+V90)*INDEX([1]Sheet1!$A$1:$A$13,MATCH((U90+V90),[1]Sheet1!$B$1:$B$13)),0)</f>
        <v>0</v>
      </c>
      <c r="Z90" s="6">
        <f t="shared" si="54"/>
        <v>0</v>
      </c>
      <c r="AA90" s="8"/>
      <c r="AB90" s="8">
        <f t="shared" si="55"/>
        <v>0</v>
      </c>
      <c r="AC90" s="8">
        <f t="shared" si="56"/>
        <v>0</v>
      </c>
      <c r="AD90" s="8">
        <f t="shared" si="42"/>
        <v>0</v>
      </c>
      <c r="AE90" s="8">
        <f>IFERROR((AA90+AB90)*INDEX([1]Sheet1!$A$1:$A$13,MATCH((AA90+AB90),[1]Sheet1!$B$1:$B$13)),0)</f>
        <v>0</v>
      </c>
      <c r="AF90" s="6">
        <f t="shared" si="57"/>
        <v>0</v>
      </c>
      <c r="AG90" s="8"/>
      <c r="AH90" s="8">
        <f t="shared" si="58"/>
        <v>0</v>
      </c>
      <c r="AI90" s="8">
        <f t="shared" si="59"/>
        <v>0</v>
      </c>
      <c r="AJ90" s="8">
        <f t="shared" si="43"/>
        <v>0</v>
      </c>
      <c r="AK90" s="8">
        <f>IFERROR((AG90+AH90)*INDEX([1]Sheet1!$A$1:$A$13,MATCH((AG90+AH90),[1]Sheet1!$B$1:$B$13)),0)</f>
        <v>0</v>
      </c>
      <c r="AL90" s="6">
        <f t="shared" si="60"/>
        <v>0</v>
      </c>
      <c r="AM90" s="8"/>
      <c r="AN90" s="8">
        <f t="shared" si="61"/>
        <v>0</v>
      </c>
      <c r="AO90" s="8">
        <f t="shared" si="62"/>
        <v>0</v>
      </c>
      <c r="AP90" s="8">
        <f t="shared" si="44"/>
        <v>0</v>
      </c>
      <c r="AQ90" s="8">
        <f>IFERROR((AM90+AN90)*INDEX([1]Sheet1!$A$1:$A$13,MATCH((AM90+AN90),[1]Sheet1!$B$1:$B$13)),0)</f>
        <v>0</v>
      </c>
      <c r="AR90" s="6">
        <f t="shared" si="63"/>
        <v>0</v>
      </c>
      <c r="AS90" s="8"/>
      <c r="AT90" s="8">
        <f t="shared" si="64"/>
        <v>0</v>
      </c>
      <c r="AU90" s="8">
        <f t="shared" si="65"/>
        <v>0</v>
      </c>
      <c r="AV90" s="8">
        <f t="shared" si="45"/>
        <v>0</v>
      </c>
      <c r="AW90" s="8">
        <f>IFERROR((AS90+AT90)*INDEX([1]Sheet1!$A$1:$A$13,MATCH((AS90+AT90),[1]Sheet1!$B$1:$B$13)),0)</f>
        <v>0</v>
      </c>
      <c r="BC90" s="1" t="str">
        <f t="shared" si="66"/>
        <v/>
      </c>
    </row>
    <row r="91" spans="1:55" ht="18" customHeight="1" x14ac:dyDescent="0.2">
      <c r="A91" s="4"/>
      <c r="B91" s="6"/>
      <c r="C91" s="6"/>
      <c r="D91" s="6"/>
      <c r="E91" s="6"/>
      <c r="F91" s="4"/>
      <c r="G91" s="7"/>
      <c r="H91" s="6">
        <f t="shared" si="46"/>
        <v>0</v>
      </c>
      <c r="I91" s="8"/>
      <c r="J91" s="8"/>
      <c r="K91" s="8">
        <f t="shared" si="47"/>
        <v>0</v>
      </c>
      <c r="L91" s="8">
        <f t="shared" si="39"/>
        <v>0</v>
      </c>
      <c r="M91" s="8">
        <f>IFERROR((I91+J91)*INDEX([1]Sheet1!$A$1:$A$13,MATCH((I91+J91),[1]Sheet1!$B$1:$B$13)),0)</f>
        <v>0</v>
      </c>
      <c r="N91" s="6">
        <f t="shared" si="48"/>
        <v>0</v>
      </c>
      <c r="O91" s="8"/>
      <c r="P91" s="8">
        <f t="shared" si="49"/>
        <v>0</v>
      </c>
      <c r="Q91" s="8">
        <f t="shared" si="50"/>
        <v>0</v>
      </c>
      <c r="R91" s="8">
        <f t="shared" si="40"/>
        <v>0</v>
      </c>
      <c r="S91" s="8">
        <f>IFERROR((O91+P91)*INDEX([1]Sheet1!$A$1:$A$13,MATCH((O91+P91),[1]Sheet1!$B$1:$B$13)),0)</f>
        <v>0</v>
      </c>
      <c r="T91" s="6">
        <f t="shared" si="51"/>
        <v>0</v>
      </c>
      <c r="U91" s="8"/>
      <c r="V91" s="8">
        <f t="shared" si="52"/>
        <v>0</v>
      </c>
      <c r="W91" s="8">
        <f t="shared" si="53"/>
        <v>0</v>
      </c>
      <c r="X91" s="8">
        <f t="shared" si="41"/>
        <v>0</v>
      </c>
      <c r="Y91" s="8">
        <f>IFERROR((U91+V91)*INDEX([1]Sheet1!$A$1:$A$13,MATCH((U91+V91),[1]Sheet1!$B$1:$B$13)),0)</f>
        <v>0</v>
      </c>
      <c r="Z91" s="6">
        <f t="shared" si="54"/>
        <v>0</v>
      </c>
      <c r="AA91" s="8"/>
      <c r="AB91" s="8">
        <f t="shared" si="55"/>
        <v>0</v>
      </c>
      <c r="AC91" s="8">
        <f t="shared" si="56"/>
        <v>0</v>
      </c>
      <c r="AD91" s="8">
        <f t="shared" si="42"/>
        <v>0</v>
      </c>
      <c r="AE91" s="8">
        <f>IFERROR((AA91+AB91)*INDEX([1]Sheet1!$A$1:$A$13,MATCH((AA91+AB91),[1]Sheet1!$B$1:$B$13)),0)</f>
        <v>0</v>
      </c>
      <c r="AF91" s="6">
        <f t="shared" si="57"/>
        <v>0</v>
      </c>
      <c r="AG91" s="8"/>
      <c r="AH91" s="8">
        <f t="shared" si="58"/>
        <v>0</v>
      </c>
      <c r="AI91" s="8">
        <f t="shared" si="59"/>
        <v>0</v>
      </c>
      <c r="AJ91" s="8">
        <f t="shared" si="43"/>
        <v>0</v>
      </c>
      <c r="AK91" s="8">
        <f>IFERROR((AG91+AH91)*INDEX([1]Sheet1!$A$1:$A$13,MATCH((AG91+AH91),[1]Sheet1!$B$1:$B$13)),0)</f>
        <v>0</v>
      </c>
      <c r="AL91" s="6">
        <f t="shared" si="60"/>
        <v>0</v>
      </c>
      <c r="AM91" s="8"/>
      <c r="AN91" s="8">
        <f t="shared" si="61"/>
        <v>0</v>
      </c>
      <c r="AO91" s="8">
        <f t="shared" si="62"/>
        <v>0</v>
      </c>
      <c r="AP91" s="8">
        <f t="shared" si="44"/>
        <v>0</v>
      </c>
      <c r="AQ91" s="8">
        <f>IFERROR((AM91+AN91)*INDEX([1]Sheet1!$A$1:$A$13,MATCH((AM91+AN91),[1]Sheet1!$B$1:$B$13)),0)</f>
        <v>0</v>
      </c>
      <c r="AR91" s="6">
        <f t="shared" si="63"/>
        <v>0</v>
      </c>
      <c r="AS91" s="8"/>
      <c r="AT91" s="8">
        <f t="shared" si="64"/>
        <v>0</v>
      </c>
      <c r="AU91" s="8">
        <f t="shared" si="65"/>
        <v>0</v>
      </c>
      <c r="AV91" s="8">
        <f t="shared" si="45"/>
        <v>0</v>
      </c>
      <c r="AW91" s="8">
        <f>IFERROR((AS91+AT91)*INDEX([1]Sheet1!$A$1:$A$13,MATCH((AS91+AT91),[1]Sheet1!$B$1:$B$13)),0)</f>
        <v>0</v>
      </c>
      <c r="BC91" s="1" t="str">
        <f t="shared" si="66"/>
        <v/>
      </c>
    </row>
    <row r="92" spans="1:55" ht="18" customHeight="1" x14ac:dyDescent="0.2">
      <c r="A92" s="4"/>
      <c r="B92" s="6"/>
      <c r="C92" s="6"/>
      <c r="D92" s="6"/>
      <c r="E92" s="6"/>
      <c r="F92" s="4"/>
      <c r="G92" s="7"/>
      <c r="H92" s="6">
        <f t="shared" si="46"/>
        <v>0</v>
      </c>
      <c r="I92" s="8"/>
      <c r="J92" s="8"/>
      <c r="K92" s="8">
        <f t="shared" si="47"/>
        <v>0</v>
      </c>
      <c r="L92" s="8">
        <f t="shared" si="39"/>
        <v>0</v>
      </c>
      <c r="M92" s="8">
        <f>IFERROR((I92+J92)*INDEX([1]Sheet1!$A$1:$A$13,MATCH((I92+J92),[1]Sheet1!$B$1:$B$13)),0)</f>
        <v>0</v>
      </c>
      <c r="N92" s="6">
        <f t="shared" si="48"/>
        <v>0</v>
      </c>
      <c r="O92" s="8"/>
      <c r="P92" s="8">
        <f t="shared" si="49"/>
        <v>0</v>
      </c>
      <c r="Q92" s="8">
        <f t="shared" si="50"/>
        <v>0</v>
      </c>
      <c r="R92" s="8">
        <f t="shared" si="40"/>
        <v>0</v>
      </c>
      <c r="S92" s="8">
        <f>IFERROR((O92+P92)*INDEX([1]Sheet1!$A$1:$A$13,MATCH((O92+P92),[1]Sheet1!$B$1:$B$13)),0)</f>
        <v>0</v>
      </c>
      <c r="T92" s="6">
        <f t="shared" si="51"/>
        <v>0</v>
      </c>
      <c r="U92" s="8"/>
      <c r="V92" s="8">
        <f t="shared" si="52"/>
        <v>0</v>
      </c>
      <c r="W92" s="8">
        <f t="shared" si="53"/>
        <v>0</v>
      </c>
      <c r="X92" s="8">
        <f t="shared" si="41"/>
        <v>0</v>
      </c>
      <c r="Y92" s="8">
        <f>IFERROR((U92+V92)*INDEX([1]Sheet1!$A$1:$A$13,MATCH((U92+V92),[1]Sheet1!$B$1:$B$13)),0)</f>
        <v>0</v>
      </c>
      <c r="Z92" s="6">
        <f t="shared" si="54"/>
        <v>0</v>
      </c>
      <c r="AA92" s="8"/>
      <c r="AB92" s="8">
        <f t="shared" si="55"/>
        <v>0</v>
      </c>
      <c r="AC92" s="8">
        <f t="shared" si="56"/>
        <v>0</v>
      </c>
      <c r="AD92" s="8">
        <f t="shared" si="42"/>
        <v>0</v>
      </c>
      <c r="AE92" s="8">
        <f>IFERROR((AA92+AB92)*INDEX([1]Sheet1!$A$1:$A$13,MATCH((AA92+AB92),[1]Sheet1!$B$1:$B$13)),0)</f>
        <v>0</v>
      </c>
      <c r="AF92" s="6">
        <f t="shared" si="57"/>
        <v>0</v>
      </c>
      <c r="AG92" s="8"/>
      <c r="AH92" s="8">
        <f t="shared" si="58"/>
        <v>0</v>
      </c>
      <c r="AI92" s="8">
        <f t="shared" si="59"/>
        <v>0</v>
      </c>
      <c r="AJ92" s="8">
        <f t="shared" si="43"/>
        <v>0</v>
      </c>
      <c r="AK92" s="8">
        <f>IFERROR((AG92+AH92)*INDEX([1]Sheet1!$A$1:$A$13,MATCH((AG92+AH92),[1]Sheet1!$B$1:$B$13)),0)</f>
        <v>0</v>
      </c>
      <c r="AL92" s="6">
        <f t="shared" si="60"/>
        <v>0</v>
      </c>
      <c r="AM92" s="8"/>
      <c r="AN92" s="8">
        <f t="shared" si="61"/>
        <v>0</v>
      </c>
      <c r="AO92" s="8">
        <f t="shared" si="62"/>
        <v>0</v>
      </c>
      <c r="AP92" s="8">
        <f t="shared" si="44"/>
        <v>0</v>
      </c>
      <c r="AQ92" s="8">
        <f>IFERROR((AM92+AN92)*INDEX([1]Sheet1!$A$1:$A$13,MATCH((AM92+AN92),[1]Sheet1!$B$1:$B$13)),0)</f>
        <v>0</v>
      </c>
      <c r="AR92" s="6">
        <f t="shared" si="63"/>
        <v>0</v>
      </c>
      <c r="AS92" s="8"/>
      <c r="AT92" s="8">
        <f t="shared" si="64"/>
        <v>0</v>
      </c>
      <c r="AU92" s="8">
        <f t="shared" si="65"/>
        <v>0</v>
      </c>
      <c r="AV92" s="8">
        <f t="shared" si="45"/>
        <v>0</v>
      </c>
      <c r="AW92" s="8">
        <f>IFERROR((AS92+AT92)*INDEX([1]Sheet1!$A$1:$A$13,MATCH((AS92+AT92),[1]Sheet1!$B$1:$B$13)),0)</f>
        <v>0</v>
      </c>
      <c r="BC92" s="1" t="str">
        <f t="shared" si="66"/>
        <v/>
      </c>
    </row>
    <row r="93" spans="1:55" ht="18" customHeight="1" x14ac:dyDescent="0.2">
      <c r="A93" s="4"/>
      <c r="B93" s="5"/>
      <c r="C93" s="6"/>
      <c r="D93" s="6"/>
      <c r="E93" s="6"/>
      <c r="F93" s="4"/>
      <c r="G93" s="7"/>
      <c r="H93" s="6">
        <f t="shared" si="46"/>
        <v>0</v>
      </c>
      <c r="I93" s="8"/>
      <c r="J93" s="8"/>
      <c r="K93" s="8">
        <f t="shared" si="47"/>
        <v>0</v>
      </c>
      <c r="L93" s="8">
        <f t="shared" si="39"/>
        <v>0</v>
      </c>
      <c r="M93" s="8">
        <f>IFERROR((I93+J93)*INDEX([1]Sheet1!$A$1:$A$13,MATCH((I93+J93),[1]Sheet1!$B$1:$B$13)),0)</f>
        <v>0</v>
      </c>
      <c r="N93" s="6">
        <f t="shared" si="48"/>
        <v>0</v>
      </c>
      <c r="O93" s="8"/>
      <c r="P93" s="8">
        <f t="shared" si="49"/>
        <v>0</v>
      </c>
      <c r="Q93" s="8">
        <f t="shared" si="50"/>
        <v>0</v>
      </c>
      <c r="R93" s="8">
        <f t="shared" si="40"/>
        <v>0</v>
      </c>
      <c r="S93" s="8">
        <f>IFERROR((O93+P93)*INDEX([1]Sheet1!$A$1:$A$13,MATCH((O93+P93),[1]Sheet1!$B$1:$B$13)),0)</f>
        <v>0</v>
      </c>
      <c r="T93" s="6">
        <f t="shared" si="51"/>
        <v>0</v>
      </c>
      <c r="U93" s="8"/>
      <c r="V93" s="8">
        <f t="shared" si="52"/>
        <v>0</v>
      </c>
      <c r="W93" s="8">
        <f t="shared" si="53"/>
        <v>0</v>
      </c>
      <c r="X93" s="8">
        <f t="shared" si="41"/>
        <v>0</v>
      </c>
      <c r="Y93" s="8">
        <f>IFERROR((U93+V93)*INDEX([1]Sheet1!$A$1:$A$13,MATCH((U93+V93),[1]Sheet1!$B$1:$B$13)),0)</f>
        <v>0</v>
      </c>
      <c r="Z93" s="6">
        <f t="shared" si="54"/>
        <v>0</v>
      </c>
      <c r="AA93" s="8"/>
      <c r="AB93" s="8">
        <f t="shared" si="55"/>
        <v>0</v>
      </c>
      <c r="AC93" s="8">
        <f t="shared" si="56"/>
        <v>0</v>
      </c>
      <c r="AD93" s="8">
        <f t="shared" si="42"/>
        <v>0</v>
      </c>
      <c r="AE93" s="8">
        <f>IFERROR((AA93+AB93)*INDEX([1]Sheet1!$A$1:$A$13,MATCH((AA93+AB93),[1]Sheet1!$B$1:$B$13)),0)</f>
        <v>0</v>
      </c>
      <c r="AF93" s="6">
        <f t="shared" si="57"/>
        <v>0</v>
      </c>
      <c r="AG93" s="8"/>
      <c r="AH93" s="8">
        <f t="shared" si="58"/>
        <v>0</v>
      </c>
      <c r="AI93" s="8">
        <f t="shared" si="59"/>
        <v>0</v>
      </c>
      <c r="AJ93" s="8">
        <f t="shared" si="43"/>
        <v>0</v>
      </c>
      <c r="AK93" s="8">
        <f>IFERROR((AG93+AH93)*INDEX([1]Sheet1!$A$1:$A$13,MATCH((AG93+AH93),[1]Sheet1!$B$1:$B$13)),0)</f>
        <v>0</v>
      </c>
      <c r="AL93" s="6">
        <f t="shared" si="60"/>
        <v>0</v>
      </c>
      <c r="AM93" s="8"/>
      <c r="AN93" s="8">
        <f t="shared" si="61"/>
        <v>0</v>
      </c>
      <c r="AO93" s="8">
        <f t="shared" si="62"/>
        <v>0</v>
      </c>
      <c r="AP93" s="8">
        <f t="shared" si="44"/>
        <v>0</v>
      </c>
      <c r="AQ93" s="8">
        <f>IFERROR((AM93+AN93)*INDEX([1]Sheet1!$A$1:$A$13,MATCH((AM93+AN93),[1]Sheet1!$B$1:$B$13)),0)</f>
        <v>0</v>
      </c>
      <c r="AR93" s="6">
        <f t="shared" si="63"/>
        <v>0</v>
      </c>
      <c r="AS93" s="8"/>
      <c r="AT93" s="8">
        <f t="shared" si="64"/>
        <v>0</v>
      </c>
      <c r="AU93" s="8">
        <f t="shared" si="65"/>
        <v>0</v>
      </c>
      <c r="AV93" s="8">
        <f t="shared" si="45"/>
        <v>0</v>
      </c>
      <c r="AW93" s="8">
        <f>IFERROR((AS93+AT93)*INDEX([1]Sheet1!$A$1:$A$13,MATCH((AS93+AT93),[1]Sheet1!$B$1:$B$13)),0)</f>
        <v>0</v>
      </c>
      <c r="BC93" s="1" t="str">
        <f t="shared" si="66"/>
        <v/>
      </c>
    </row>
    <row r="94" spans="1:55" ht="18" customHeight="1" x14ac:dyDescent="0.2">
      <c r="A94" s="4"/>
      <c r="B94" s="5"/>
      <c r="C94" s="6"/>
      <c r="D94" s="6"/>
      <c r="E94" s="6"/>
      <c r="F94" s="4"/>
      <c r="G94" s="7"/>
      <c r="H94" s="6">
        <f t="shared" si="46"/>
        <v>0</v>
      </c>
      <c r="I94" s="8"/>
      <c r="J94" s="8"/>
      <c r="K94" s="8">
        <f t="shared" si="47"/>
        <v>0</v>
      </c>
      <c r="L94" s="8">
        <f t="shared" si="39"/>
        <v>0</v>
      </c>
      <c r="M94" s="8">
        <f>IFERROR((I94+J94)*INDEX([1]Sheet1!$A$1:$A$13,MATCH((I94+J94),[1]Sheet1!$B$1:$B$13)),0)</f>
        <v>0</v>
      </c>
      <c r="N94" s="6">
        <f t="shared" si="48"/>
        <v>0</v>
      </c>
      <c r="O94" s="8"/>
      <c r="P94" s="8">
        <f t="shared" si="49"/>
        <v>0</v>
      </c>
      <c r="Q94" s="8">
        <f t="shared" si="50"/>
        <v>0</v>
      </c>
      <c r="R94" s="8">
        <f t="shared" si="40"/>
        <v>0</v>
      </c>
      <c r="S94" s="8">
        <f>IFERROR((O94+P94)*INDEX([1]Sheet1!$A$1:$A$13,MATCH((O94+P94),[1]Sheet1!$B$1:$B$13)),0)</f>
        <v>0</v>
      </c>
      <c r="T94" s="6">
        <f t="shared" si="51"/>
        <v>0</v>
      </c>
      <c r="U94" s="8"/>
      <c r="V94" s="8">
        <f t="shared" si="52"/>
        <v>0</v>
      </c>
      <c r="W94" s="8">
        <f t="shared" si="53"/>
        <v>0</v>
      </c>
      <c r="X94" s="8">
        <f t="shared" si="41"/>
        <v>0</v>
      </c>
      <c r="Y94" s="8">
        <f>IFERROR((U94+V94)*INDEX([1]Sheet1!$A$1:$A$13,MATCH((U94+V94),[1]Sheet1!$B$1:$B$13)),0)</f>
        <v>0</v>
      </c>
      <c r="Z94" s="6">
        <f t="shared" si="54"/>
        <v>0</v>
      </c>
      <c r="AA94" s="8"/>
      <c r="AB94" s="8">
        <f t="shared" si="55"/>
        <v>0</v>
      </c>
      <c r="AC94" s="8">
        <f t="shared" si="56"/>
        <v>0</v>
      </c>
      <c r="AD94" s="8">
        <f t="shared" si="42"/>
        <v>0</v>
      </c>
      <c r="AE94" s="8">
        <f>IFERROR((AA94+AB94)*INDEX([1]Sheet1!$A$1:$A$13,MATCH((AA94+AB94),[1]Sheet1!$B$1:$B$13)),0)</f>
        <v>0</v>
      </c>
      <c r="AF94" s="6">
        <f t="shared" si="57"/>
        <v>0</v>
      </c>
      <c r="AG94" s="8"/>
      <c r="AH94" s="8">
        <f t="shared" si="58"/>
        <v>0</v>
      </c>
      <c r="AI94" s="8">
        <f t="shared" si="59"/>
        <v>0</v>
      </c>
      <c r="AJ94" s="8">
        <f t="shared" si="43"/>
        <v>0</v>
      </c>
      <c r="AK94" s="8">
        <f>IFERROR((AG94+AH94)*INDEX([1]Sheet1!$A$1:$A$13,MATCH((AG94+AH94),[1]Sheet1!$B$1:$B$13)),0)</f>
        <v>0</v>
      </c>
      <c r="AL94" s="6">
        <f t="shared" si="60"/>
        <v>0</v>
      </c>
      <c r="AM94" s="8"/>
      <c r="AN94" s="8">
        <f t="shared" si="61"/>
        <v>0</v>
      </c>
      <c r="AO94" s="8">
        <f t="shared" si="62"/>
        <v>0</v>
      </c>
      <c r="AP94" s="8">
        <f t="shared" si="44"/>
        <v>0</v>
      </c>
      <c r="AQ94" s="8">
        <f>IFERROR((AM94+AN94)*INDEX([1]Sheet1!$A$1:$A$13,MATCH((AM94+AN94),[1]Sheet1!$B$1:$B$13)),0)</f>
        <v>0</v>
      </c>
      <c r="AR94" s="6">
        <f t="shared" si="63"/>
        <v>0</v>
      </c>
      <c r="AS94" s="8"/>
      <c r="AT94" s="8">
        <f t="shared" si="64"/>
        <v>0</v>
      </c>
      <c r="AU94" s="8">
        <f t="shared" si="65"/>
        <v>0</v>
      </c>
      <c r="AV94" s="8">
        <f t="shared" si="45"/>
        <v>0</v>
      </c>
      <c r="AW94" s="8">
        <f>IFERROR((AS94+AT94)*INDEX([1]Sheet1!$A$1:$A$13,MATCH((AS94+AT94),[1]Sheet1!$B$1:$B$13)),0)</f>
        <v>0</v>
      </c>
      <c r="BC94" s="1" t="str">
        <f t="shared" si="66"/>
        <v/>
      </c>
    </row>
    <row r="95" spans="1:55" ht="18" customHeight="1" x14ac:dyDescent="0.2">
      <c r="A95" s="4"/>
      <c r="B95" s="5"/>
      <c r="C95" s="6"/>
      <c r="D95" s="6"/>
      <c r="E95" s="6"/>
      <c r="F95" s="4"/>
      <c r="G95" s="7"/>
      <c r="H95" s="6">
        <f t="shared" si="46"/>
        <v>0</v>
      </c>
      <c r="I95" s="8"/>
      <c r="J95" s="8"/>
      <c r="K95" s="8">
        <f t="shared" si="47"/>
        <v>0</v>
      </c>
      <c r="L95" s="8">
        <f t="shared" si="39"/>
        <v>0</v>
      </c>
      <c r="M95" s="8">
        <f>IFERROR((I95+J95)*INDEX([1]Sheet1!$A$1:$A$13,MATCH((I95+J95),[1]Sheet1!$B$1:$B$13)),0)</f>
        <v>0</v>
      </c>
      <c r="N95" s="6">
        <f t="shared" si="48"/>
        <v>0</v>
      </c>
      <c r="O95" s="8"/>
      <c r="P95" s="8">
        <f t="shared" si="49"/>
        <v>0</v>
      </c>
      <c r="Q95" s="8">
        <f t="shared" si="50"/>
        <v>0</v>
      </c>
      <c r="R95" s="8">
        <f t="shared" si="40"/>
        <v>0</v>
      </c>
      <c r="S95" s="8">
        <f>IFERROR((O95+P95)*INDEX([1]Sheet1!$A$1:$A$13,MATCH((O95+P95),[1]Sheet1!$B$1:$B$13)),0)</f>
        <v>0</v>
      </c>
      <c r="T95" s="6">
        <f t="shared" si="51"/>
        <v>0</v>
      </c>
      <c r="U95" s="8"/>
      <c r="V95" s="8">
        <f t="shared" si="52"/>
        <v>0</v>
      </c>
      <c r="W95" s="8">
        <f t="shared" si="53"/>
        <v>0</v>
      </c>
      <c r="X95" s="8">
        <f t="shared" si="41"/>
        <v>0</v>
      </c>
      <c r="Y95" s="8">
        <f>IFERROR((U95+V95)*INDEX([1]Sheet1!$A$1:$A$13,MATCH((U95+V95),[1]Sheet1!$B$1:$B$13)),0)</f>
        <v>0</v>
      </c>
      <c r="Z95" s="6">
        <f t="shared" si="54"/>
        <v>0</v>
      </c>
      <c r="AA95" s="8"/>
      <c r="AB95" s="8">
        <f t="shared" si="55"/>
        <v>0</v>
      </c>
      <c r="AC95" s="8">
        <f t="shared" si="56"/>
        <v>0</v>
      </c>
      <c r="AD95" s="8">
        <f t="shared" si="42"/>
        <v>0</v>
      </c>
      <c r="AE95" s="8">
        <f>IFERROR((AA95+AB95)*INDEX([1]Sheet1!$A$1:$A$13,MATCH((AA95+AB95),[1]Sheet1!$B$1:$B$13)),0)</f>
        <v>0</v>
      </c>
      <c r="AF95" s="6">
        <f t="shared" si="57"/>
        <v>0</v>
      </c>
      <c r="AG95" s="8"/>
      <c r="AH95" s="8">
        <f t="shared" si="58"/>
        <v>0</v>
      </c>
      <c r="AI95" s="8">
        <f t="shared" si="59"/>
        <v>0</v>
      </c>
      <c r="AJ95" s="8">
        <f t="shared" si="43"/>
        <v>0</v>
      </c>
      <c r="AK95" s="8">
        <f>IFERROR((AG95+AH95)*INDEX([1]Sheet1!$A$1:$A$13,MATCH((AG95+AH95),[1]Sheet1!$B$1:$B$13)),0)</f>
        <v>0</v>
      </c>
      <c r="AL95" s="6">
        <f t="shared" si="60"/>
        <v>0</v>
      </c>
      <c r="AM95" s="8"/>
      <c r="AN95" s="8">
        <f t="shared" si="61"/>
        <v>0</v>
      </c>
      <c r="AO95" s="8">
        <f t="shared" si="62"/>
        <v>0</v>
      </c>
      <c r="AP95" s="8">
        <f t="shared" si="44"/>
        <v>0</v>
      </c>
      <c r="AQ95" s="8">
        <f>IFERROR((AM95+AN95)*INDEX([1]Sheet1!$A$1:$A$13,MATCH((AM95+AN95),[1]Sheet1!$B$1:$B$13)),0)</f>
        <v>0</v>
      </c>
      <c r="AR95" s="6">
        <f t="shared" si="63"/>
        <v>0</v>
      </c>
      <c r="AS95" s="8"/>
      <c r="AT95" s="8">
        <f t="shared" si="64"/>
        <v>0</v>
      </c>
      <c r="AU95" s="8">
        <f t="shared" si="65"/>
        <v>0</v>
      </c>
      <c r="AV95" s="8">
        <f t="shared" si="45"/>
        <v>0</v>
      </c>
      <c r="AW95" s="8">
        <f>IFERROR((AS95+AT95)*INDEX([1]Sheet1!$A$1:$A$13,MATCH((AS95+AT95),[1]Sheet1!$B$1:$B$13)),0)</f>
        <v>0</v>
      </c>
      <c r="BC95" s="1" t="str">
        <f t="shared" si="66"/>
        <v/>
      </c>
    </row>
    <row r="96" spans="1:55" ht="18" customHeight="1" x14ac:dyDescent="0.2">
      <c r="A96" s="4"/>
      <c r="B96" s="6"/>
      <c r="C96" s="6"/>
      <c r="D96" s="6"/>
      <c r="E96" s="6"/>
      <c r="F96" s="4"/>
      <c r="G96" s="7"/>
      <c r="H96" s="6">
        <f t="shared" si="46"/>
        <v>0</v>
      </c>
      <c r="I96" s="8"/>
      <c r="J96" s="8"/>
      <c r="K96" s="8">
        <f t="shared" si="47"/>
        <v>0</v>
      </c>
      <c r="L96" s="8">
        <f t="shared" si="39"/>
        <v>0</v>
      </c>
      <c r="M96" s="8">
        <f>IFERROR((I96+J96)*INDEX([1]Sheet1!$A$1:$A$13,MATCH((I96+J96),[1]Sheet1!$B$1:$B$13)),0)</f>
        <v>0</v>
      </c>
      <c r="N96" s="6">
        <f t="shared" si="48"/>
        <v>0</v>
      </c>
      <c r="O96" s="8"/>
      <c r="P96" s="8">
        <f t="shared" si="49"/>
        <v>0</v>
      </c>
      <c r="Q96" s="8">
        <f t="shared" si="50"/>
        <v>0</v>
      </c>
      <c r="R96" s="8">
        <f t="shared" si="40"/>
        <v>0</v>
      </c>
      <c r="S96" s="8">
        <f>IFERROR((O96+P96)*INDEX([1]Sheet1!$A$1:$A$13,MATCH((O96+P96),[1]Sheet1!$B$1:$B$13)),0)</f>
        <v>0</v>
      </c>
      <c r="T96" s="6">
        <f t="shared" si="51"/>
        <v>0</v>
      </c>
      <c r="U96" s="8"/>
      <c r="V96" s="8">
        <f t="shared" si="52"/>
        <v>0</v>
      </c>
      <c r="W96" s="8">
        <f t="shared" si="53"/>
        <v>0</v>
      </c>
      <c r="X96" s="8">
        <f t="shared" si="41"/>
        <v>0</v>
      </c>
      <c r="Y96" s="8">
        <f>IFERROR((U96+V96)*INDEX([1]Sheet1!$A$1:$A$13,MATCH((U96+V96),[1]Sheet1!$B$1:$B$13)),0)</f>
        <v>0</v>
      </c>
      <c r="Z96" s="6">
        <f t="shared" si="54"/>
        <v>0</v>
      </c>
      <c r="AA96" s="8"/>
      <c r="AB96" s="8">
        <f t="shared" si="55"/>
        <v>0</v>
      </c>
      <c r="AC96" s="8">
        <f t="shared" si="56"/>
        <v>0</v>
      </c>
      <c r="AD96" s="8">
        <f t="shared" si="42"/>
        <v>0</v>
      </c>
      <c r="AE96" s="8">
        <f>IFERROR((AA96+AB96)*INDEX([1]Sheet1!$A$1:$A$13,MATCH((AA96+AB96),[1]Sheet1!$B$1:$B$13)),0)</f>
        <v>0</v>
      </c>
      <c r="AF96" s="6">
        <f t="shared" si="57"/>
        <v>0</v>
      </c>
      <c r="AG96" s="8"/>
      <c r="AH96" s="8">
        <f t="shared" si="58"/>
        <v>0</v>
      </c>
      <c r="AI96" s="8">
        <f t="shared" si="59"/>
        <v>0</v>
      </c>
      <c r="AJ96" s="8">
        <f t="shared" si="43"/>
        <v>0</v>
      </c>
      <c r="AK96" s="8">
        <f>IFERROR((AG96+AH96)*INDEX([1]Sheet1!$A$1:$A$13,MATCH((AG96+AH96),[1]Sheet1!$B$1:$B$13)),0)</f>
        <v>0</v>
      </c>
      <c r="AL96" s="6">
        <f t="shared" si="60"/>
        <v>0</v>
      </c>
      <c r="AM96" s="8"/>
      <c r="AN96" s="8">
        <f t="shared" si="61"/>
        <v>0</v>
      </c>
      <c r="AO96" s="8">
        <f t="shared" si="62"/>
        <v>0</v>
      </c>
      <c r="AP96" s="8">
        <f t="shared" si="44"/>
        <v>0</v>
      </c>
      <c r="AQ96" s="8">
        <f>IFERROR((AM96+AN96)*INDEX([1]Sheet1!$A$1:$A$13,MATCH((AM96+AN96),[1]Sheet1!$B$1:$B$13)),0)</f>
        <v>0</v>
      </c>
      <c r="AR96" s="6">
        <f t="shared" si="63"/>
        <v>0</v>
      </c>
      <c r="AS96" s="8"/>
      <c r="AT96" s="8">
        <f t="shared" si="64"/>
        <v>0</v>
      </c>
      <c r="AU96" s="8">
        <f t="shared" si="65"/>
        <v>0</v>
      </c>
      <c r="AV96" s="8">
        <f t="shared" si="45"/>
        <v>0</v>
      </c>
      <c r="AW96" s="8">
        <f>IFERROR((AS96+AT96)*INDEX([1]Sheet1!$A$1:$A$13,MATCH((AS96+AT96),[1]Sheet1!$B$1:$B$13)),0)</f>
        <v>0</v>
      </c>
      <c r="BC96" s="1" t="str">
        <f t="shared" si="66"/>
        <v/>
      </c>
    </row>
    <row r="97" spans="1:55" ht="18" customHeight="1" x14ac:dyDescent="0.2">
      <c r="A97" s="4"/>
      <c r="B97" s="5"/>
      <c r="C97" s="6"/>
      <c r="D97" s="6"/>
      <c r="E97" s="6"/>
      <c r="F97" s="4"/>
      <c r="G97" s="7"/>
      <c r="H97" s="6">
        <f t="shared" si="46"/>
        <v>0</v>
      </c>
      <c r="I97" s="8"/>
      <c r="J97" s="8"/>
      <c r="K97" s="8">
        <f t="shared" si="47"/>
        <v>0</v>
      </c>
      <c r="L97" s="8">
        <f t="shared" si="39"/>
        <v>0</v>
      </c>
      <c r="M97" s="8">
        <f>IFERROR((I97+J97)*INDEX([1]Sheet1!$A$1:$A$13,MATCH((I97+J97),[1]Sheet1!$B$1:$B$13)),0)</f>
        <v>0</v>
      </c>
      <c r="N97" s="6">
        <f t="shared" si="48"/>
        <v>0</v>
      </c>
      <c r="O97" s="8"/>
      <c r="P97" s="8">
        <f t="shared" si="49"/>
        <v>0</v>
      </c>
      <c r="Q97" s="8">
        <f t="shared" si="50"/>
        <v>0</v>
      </c>
      <c r="R97" s="8">
        <f t="shared" si="40"/>
        <v>0</v>
      </c>
      <c r="S97" s="8">
        <f>IFERROR((O97+P97)*INDEX([1]Sheet1!$A$1:$A$13,MATCH((O97+P97),[1]Sheet1!$B$1:$B$13)),0)</f>
        <v>0</v>
      </c>
      <c r="T97" s="6">
        <f t="shared" si="51"/>
        <v>0</v>
      </c>
      <c r="U97" s="8"/>
      <c r="V97" s="8">
        <f t="shared" si="52"/>
        <v>0</v>
      </c>
      <c r="W97" s="8">
        <f t="shared" si="53"/>
        <v>0</v>
      </c>
      <c r="X97" s="8">
        <f t="shared" si="41"/>
        <v>0</v>
      </c>
      <c r="Y97" s="8">
        <f>IFERROR((U97+V97)*INDEX([1]Sheet1!$A$1:$A$13,MATCH((U97+V97),[1]Sheet1!$B$1:$B$13)),0)</f>
        <v>0</v>
      </c>
      <c r="Z97" s="6">
        <f t="shared" si="54"/>
        <v>0</v>
      </c>
      <c r="AA97" s="8"/>
      <c r="AB97" s="8">
        <f t="shared" si="55"/>
        <v>0</v>
      </c>
      <c r="AC97" s="8">
        <f t="shared" si="56"/>
        <v>0</v>
      </c>
      <c r="AD97" s="8">
        <f t="shared" si="42"/>
        <v>0</v>
      </c>
      <c r="AE97" s="8">
        <f>IFERROR((AA97+AB97)*INDEX([1]Sheet1!$A$1:$A$13,MATCH((AA97+AB97),[1]Sheet1!$B$1:$B$13)),0)</f>
        <v>0</v>
      </c>
      <c r="AF97" s="6">
        <f t="shared" si="57"/>
        <v>0</v>
      </c>
      <c r="AG97" s="8"/>
      <c r="AH97" s="8">
        <f t="shared" si="58"/>
        <v>0</v>
      </c>
      <c r="AI97" s="8">
        <f t="shared" si="59"/>
        <v>0</v>
      </c>
      <c r="AJ97" s="8">
        <f t="shared" si="43"/>
        <v>0</v>
      </c>
      <c r="AK97" s="8">
        <f>IFERROR((AG97+AH97)*INDEX([1]Sheet1!$A$1:$A$13,MATCH((AG97+AH97),[1]Sheet1!$B$1:$B$13)),0)</f>
        <v>0</v>
      </c>
      <c r="AL97" s="6">
        <f t="shared" si="60"/>
        <v>0</v>
      </c>
      <c r="AM97" s="8"/>
      <c r="AN97" s="8">
        <f t="shared" si="61"/>
        <v>0</v>
      </c>
      <c r="AO97" s="8">
        <f t="shared" si="62"/>
        <v>0</v>
      </c>
      <c r="AP97" s="8">
        <f t="shared" si="44"/>
        <v>0</v>
      </c>
      <c r="AQ97" s="8">
        <f>IFERROR((AM97+AN97)*INDEX([1]Sheet1!$A$1:$A$13,MATCH((AM97+AN97),[1]Sheet1!$B$1:$B$13)),0)</f>
        <v>0</v>
      </c>
      <c r="AR97" s="6">
        <f t="shared" si="63"/>
        <v>0</v>
      </c>
      <c r="AS97" s="8"/>
      <c r="AT97" s="8">
        <f t="shared" si="64"/>
        <v>0</v>
      </c>
      <c r="AU97" s="8">
        <f t="shared" si="65"/>
        <v>0</v>
      </c>
      <c r="AV97" s="8">
        <f t="shared" si="45"/>
        <v>0</v>
      </c>
      <c r="AW97" s="8">
        <f>IFERROR((AS97+AT97)*INDEX([1]Sheet1!$A$1:$A$13,MATCH((AS97+AT97),[1]Sheet1!$B$1:$B$13)),0)</f>
        <v>0</v>
      </c>
      <c r="BC97" s="1" t="str">
        <f t="shared" si="66"/>
        <v/>
      </c>
    </row>
    <row r="98" spans="1:55" ht="18" customHeight="1" x14ac:dyDescent="0.2">
      <c r="A98" s="4"/>
      <c r="B98" s="5"/>
      <c r="C98" s="6"/>
      <c r="D98" s="6"/>
      <c r="E98" s="6"/>
      <c r="F98" s="4"/>
      <c r="G98" s="7"/>
      <c r="H98" s="6">
        <f t="shared" si="46"/>
        <v>0</v>
      </c>
      <c r="I98" s="8"/>
      <c r="J98" s="8"/>
      <c r="K98" s="8">
        <f t="shared" si="47"/>
        <v>0</v>
      </c>
      <c r="L98" s="8">
        <f t="shared" si="39"/>
        <v>0</v>
      </c>
      <c r="M98" s="8">
        <f>IFERROR((I98+J98)*INDEX([1]Sheet1!$A$1:$A$13,MATCH((I98+J98),[1]Sheet1!$B$1:$B$13)),0)</f>
        <v>0</v>
      </c>
      <c r="N98" s="6">
        <f t="shared" si="48"/>
        <v>0</v>
      </c>
      <c r="O98" s="8"/>
      <c r="P98" s="8">
        <f t="shared" si="49"/>
        <v>0</v>
      </c>
      <c r="Q98" s="8">
        <f t="shared" si="50"/>
        <v>0</v>
      </c>
      <c r="R98" s="8">
        <f t="shared" si="40"/>
        <v>0</v>
      </c>
      <c r="S98" s="8">
        <f>IFERROR((O98+P98)*INDEX([1]Sheet1!$A$1:$A$13,MATCH((O98+P98),[1]Sheet1!$B$1:$B$13)),0)</f>
        <v>0</v>
      </c>
      <c r="T98" s="6">
        <f t="shared" si="51"/>
        <v>0</v>
      </c>
      <c r="U98" s="8"/>
      <c r="V98" s="8">
        <f t="shared" si="52"/>
        <v>0</v>
      </c>
      <c r="W98" s="8">
        <f t="shared" si="53"/>
        <v>0</v>
      </c>
      <c r="X98" s="8">
        <f t="shared" si="41"/>
        <v>0</v>
      </c>
      <c r="Y98" s="8">
        <f>IFERROR((U98+V98)*INDEX([1]Sheet1!$A$1:$A$13,MATCH((U98+V98),[1]Sheet1!$B$1:$B$13)),0)</f>
        <v>0</v>
      </c>
      <c r="Z98" s="6">
        <f t="shared" si="54"/>
        <v>0</v>
      </c>
      <c r="AA98" s="8"/>
      <c r="AB98" s="8">
        <f t="shared" si="55"/>
        <v>0</v>
      </c>
      <c r="AC98" s="8">
        <f t="shared" si="56"/>
        <v>0</v>
      </c>
      <c r="AD98" s="8">
        <f t="shared" si="42"/>
        <v>0</v>
      </c>
      <c r="AE98" s="8">
        <f>IFERROR((AA98+AB98)*INDEX([1]Sheet1!$A$1:$A$13,MATCH((AA98+AB98),[1]Sheet1!$B$1:$B$13)),0)</f>
        <v>0</v>
      </c>
      <c r="AF98" s="6">
        <f t="shared" si="57"/>
        <v>0</v>
      </c>
      <c r="AG98" s="8"/>
      <c r="AH98" s="8">
        <f t="shared" si="58"/>
        <v>0</v>
      </c>
      <c r="AI98" s="8">
        <f t="shared" si="59"/>
        <v>0</v>
      </c>
      <c r="AJ98" s="8">
        <f t="shared" si="43"/>
        <v>0</v>
      </c>
      <c r="AK98" s="8">
        <f>IFERROR((AG98+AH98)*INDEX([1]Sheet1!$A$1:$A$13,MATCH((AG98+AH98),[1]Sheet1!$B$1:$B$13)),0)</f>
        <v>0</v>
      </c>
      <c r="AL98" s="6">
        <f t="shared" si="60"/>
        <v>0</v>
      </c>
      <c r="AM98" s="8"/>
      <c r="AN98" s="8">
        <f t="shared" si="61"/>
        <v>0</v>
      </c>
      <c r="AO98" s="8">
        <f t="shared" si="62"/>
        <v>0</v>
      </c>
      <c r="AP98" s="8">
        <f t="shared" si="44"/>
        <v>0</v>
      </c>
      <c r="AQ98" s="8">
        <f>IFERROR((AM98+AN98)*INDEX([1]Sheet1!$A$1:$A$13,MATCH((AM98+AN98),[1]Sheet1!$B$1:$B$13)),0)</f>
        <v>0</v>
      </c>
      <c r="AR98" s="6">
        <f t="shared" si="63"/>
        <v>0</v>
      </c>
      <c r="AS98" s="8"/>
      <c r="AT98" s="8">
        <f t="shared" si="64"/>
        <v>0</v>
      </c>
      <c r="AU98" s="8">
        <f t="shared" si="65"/>
        <v>0</v>
      </c>
      <c r="AV98" s="8">
        <f t="shared" si="45"/>
        <v>0</v>
      </c>
      <c r="AW98" s="8">
        <f>IFERROR((AS98+AT98)*INDEX([1]Sheet1!$A$1:$A$13,MATCH((AS98+AT98),[1]Sheet1!$B$1:$B$13)),0)</f>
        <v>0</v>
      </c>
      <c r="BC98" s="1" t="str">
        <f t="shared" si="66"/>
        <v/>
      </c>
    </row>
    <row r="99" spans="1:55" ht="18" customHeight="1" x14ac:dyDescent="0.2">
      <c r="A99" s="4"/>
      <c r="B99" s="5"/>
      <c r="C99" s="6"/>
      <c r="D99" s="6"/>
      <c r="E99" s="6"/>
      <c r="F99" s="4"/>
      <c r="G99" s="7"/>
      <c r="H99" s="6">
        <f t="shared" si="46"/>
        <v>0</v>
      </c>
      <c r="I99" s="8"/>
      <c r="J99" s="8"/>
      <c r="K99" s="8">
        <f t="shared" si="47"/>
        <v>0</v>
      </c>
      <c r="L99" s="8">
        <f t="shared" si="39"/>
        <v>0</v>
      </c>
      <c r="M99" s="8">
        <f>IFERROR((I99+J99)*INDEX([1]Sheet1!$A$1:$A$13,MATCH((I99+J99),[1]Sheet1!$B$1:$B$13)),0)</f>
        <v>0</v>
      </c>
      <c r="N99" s="6">
        <f t="shared" si="48"/>
        <v>0</v>
      </c>
      <c r="O99" s="8"/>
      <c r="P99" s="8">
        <f t="shared" si="49"/>
        <v>0</v>
      </c>
      <c r="Q99" s="8">
        <f t="shared" si="50"/>
        <v>0</v>
      </c>
      <c r="R99" s="8">
        <f t="shared" si="40"/>
        <v>0</v>
      </c>
      <c r="S99" s="8">
        <f>IFERROR((O99+P99)*INDEX([1]Sheet1!$A$1:$A$13,MATCH((O99+P99),[1]Sheet1!$B$1:$B$13)),0)</f>
        <v>0</v>
      </c>
      <c r="T99" s="6">
        <f t="shared" si="51"/>
        <v>0</v>
      </c>
      <c r="U99" s="8"/>
      <c r="V99" s="8">
        <f t="shared" si="52"/>
        <v>0</v>
      </c>
      <c r="W99" s="8">
        <f t="shared" si="53"/>
        <v>0</v>
      </c>
      <c r="X99" s="8">
        <f t="shared" si="41"/>
        <v>0</v>
      </c>
      <c r="Y99" s="8">
        <f>IFERROR((U99+V99)*INDEX([1]Sheet1!$A$1:$A$13,MATCH((U99+V99),[1]Sheet1!$B$1:$B$13)),0)</f>
        <v>0</v>
      </c>
      <c r="Z99" s="6">
        <f t="shared" si="54"/>
        <v>0</v>
      </c>
      <c r="AA99" s="8"/>
      <c r="AB99" s="8">
        <f t="shared" si="55"/>
        <v>0</v>
      </c>
      <c r="AC99" s="8">
        <f t="shared" si="56"/>
        <v>0</v>
      </c>
      <c r="AD99" s="8">
        <f t="shared" si="42"/>
        <v>0</v>
      </c>
      <c r="AE99" s="8">
        <f>IFERROR((AA99+AB99)*INDEX([1]Sheet1!$A$1:$A$13,MATCH((AA99+AB99),[1]Sheet1!$B$1:$B$13)),0)</f>
        <v>0</v>
      </c>
      <c r="AF99" s="6">
        <f t="shared" si="57"/>
        <v>0</v>
      </c>
      <c r="AG99" s="8"/>
      <c r="AH99" s="8">
        <f t="shared" si="58"/>
        <v>0</v>
      </c>
      <c r="AI99" s="8">
        <f t="shared" si="59"/>
        <v>0</v>
      </c>
      <c r="AJ99" s="8">
        <f t="shared" si="43"/>
        <v>0</v>
      </c>
      <c r="AK99" s="8">
        <f>IFERROR((AG99+AH99)*INDEX([1]Sheet1!$A$1:$A$13,MATCH((AG99+AH99),[1]Sheet1!$B$1:$B$13)),0)</f>
        <v>0</v>
      </c>
      <c r="AL99" s="6">
        <f t="shared" si="60"/>
        <v>0</v>
      </c>
      <c r="AM99" s="8"/>
      <c r="AN99" s="8">
        <f t="shared" si="61"/>
        <v>0</v>
      </c>
      <c r="AO99" s="8">
        <f t="shared" si="62"/>
        <v>0</v>
      </c>
      <c r="AP99" s="8">
        <f t="shared" si="44"/>
        <v>0</v>
      </c>
      <c r="AQ99" s="8">
        <f>IFERROR((AM99+AN99)*INDEX([1]Sheet1!$A$1:$A$13,MATCH((AM99+AN99),[1]Sheet1!$B$1:$B$13)),0)</f>
        <v>0</v>
      </c>
      <c r="AR99" s="6">
        <f t="shared" si="63"/>
        <v>0</v>
      </c>
      <c r="AS99" s="8"/>
      <c r="AT99" s="8">
        <f t="shared" si="64"/>
        <v>0</v>
      </c>
      <c r="AU99" s="8">
        <f t="shared" si="65"/>
        <v>0</v>
      </c>
      <c r="AV99" s="8">
        <f t="shared" si="45"/>
        <v>0</v>
      </c>
      <c r="AW99" s="8">
        <f>IFERROR((AS99+AT99)*INDEX([1]Sheet1!$A$1:$A$13,MATCH((AS99+AT99),[1]Sheet1!$B$1:$B$13)),0)</f>
        <v>0</v>
      </c>
      <c r="BC99" s="1" t="str">
        <f t="shared" si="66"/>
        <v/>
      </c>
    </row>
    <row r="100" spans="1:55" ht="18" customHeight="1" x14ac:dyDescent="0.2">
      <c r="A100" s="4"/>
      <c r="B100" s="5"/>
      <c r="C100" s="6"/>
      <c r="D100" s="6"/>
      <c r="E100" s="6"/>
      <c r="F100" s="4"/>
      <c r="G100" s="7"/>
      <c r="H100" s="6">
        <f t="shared" si="46"/>
        <v>0</v>
      </c>
      <c r="I100" s="8"/>
      <c r="J100" s="8"/>
      <c r="K100" s="8">
        <f t="shared" si="47"/>
        <v>0</v>
      </c>
      <c r="L100" s="8">
        <f t="shared" si="39"/>
        <v>0</v>
      </c>
      <c r="M100" s="8">
        <f>IFERROR((I100+J100)*INDEX([1]Sheet1!$A$1:$A$13,MATCH((I100+J100),[1]Sheet1!$B$1:$B$13)),0)</f>
        <v>0</v>
      </c>
      <c r="N100" s="6">
        <f t="shared" si="48"/>
        <v>0</v>
      </c>
      <c r="O100" s="8"/>
      <c r="P100" s="8">
        <f t="shared" si="49"/>
        <v>0</v>
      </c>
      <c r="Q100" s="8">
        <f t="shared" si="50"/>
        <v>0</v>
      </c>
      <c r="R100" s="8">
        <f t="shared" si="40"/>
        <v>0</v>
      </c>
      <c r="S100" s="8">
        <f>IFERROR((O100+P100)*INDEX([1]Sheet1!$A$1:$A$13,MATCH((O100+P100),[1]Sheet1!$B$1:$B$13)),0)</f>
        <v>0</v>
      </c>
      <c r="T100" s="6">
        <f t="shared" si="51"/>
        <v>0</v>
      </c>
      <c r="U100" s="8"/>
      <c r="V100" s="8">
        <f t="shared" si="52"/>
        <v>0</v>
      </c>
      <c r="W100" s="8">
        <f t="shared" si="53"/>
        <v>0</v>
      </c>
      <c r="X100" s="8">
        <f t="shared" si="41"/>
        <v>0</v>
      </c>
      <c r="Y100" s="8">
        <f>IFERROR((U100+V100)*INDEX([1]Sheet1!$A$1:$A$13,MATCH((U100+V100),[1]Sheet1!$B$1:$B$13)),0)</f>
        <v>0</v>
      </c>
      <c r="Z100" s="6">
        <f t="shared" si="54"/>
        <v>0</v>
      </c>
      <c r="AA100" s="8"/>
      <c r="AB100" s="8">
        <f t="shared" si="55"/>
        <v>0</v>
      </c>
      <c r="AC100" s="8">
        <f t="shared" si="56"/>
        <v>0</v>
      </c>
      <c r="AD100" s="8">
        <f t="shared" si="42"/>
        <v>0</v>
      </c>
      <c r="AE100" s="8">
        <f>IFERROR((AA100+AB100)*INDEX([1]Sheet1!$A$1:$A$13,MATCH((AA100+AB100),[1]Sheet1!$B$1:$B$13)),0)</f>
        <v>0</v>
      </c>
      <c r="AF100" s="6">
        <f t="shared" si="57"/>
        <v>0</v>
      </c>
      <c r="AG100" s="8"/>
      <c r="AH100" s="8">
        <f t="shared" si="58"/>
        <v>0</v>
      </c>
      <c r="AI100" s="8">
        <f t="shared" si="59"/>
        <v>0</v>
      </c>
      <c r="AJ100" s="8">
        <f t="shared" si="43"/>
        <v>0</v>
      </c>
      <c r="AK100" s="8">
        <f>IFERROR((AG100+AH100)*INDEX([1]Sheet1!$A$1:$A$13,MATCH((AG100+AH100),[1]Sheet1!$B$1:$B$13)),0)</f>
        <v>0</v>
      </c>
      <c r="AL100" s="6">
        <f t="shared" si="60"/>
        <v>0</v>
      </c>
      <c r="AM100" s="8"/>
      <c r="AN100" s="8">
        <f t="shared" si="61"/>
        <v>0</v>
      </c>
      <c r="AO100" s="8">
        <f t="shared" si="62"/>
        <v>0</v>
      </c>
      <c r="AP100" s="8">
        <f t="shared" si="44"/>
        <v>0</v>
      </c>
      <c r="AQ100" s="8">
        <f>IFERROR((AM100+AN100)*INDEX([1]Sheet1!$A$1:$A$13,MATCH((AM100+AN100),[1]Sheet1!$B$1:$B$13)),0)</f>
        <v>0</v>
      </c>
      <c r="AR100" s="6">
        <f t="shared" si="63"/>
        <v>0</v>
      </c>
      <c r="AS100" s="8"/>
      <c r="AT100" s="8">
        <f t="shared" si="64"/>
        <v>0</v>
      </c>
      <c r="AU100" s="8">
        <f t="shared" si="65"/>
        <v>0</v>
      </c>
      <c r="AV100" s="8">
        <f t="shared" si="45"/>
        <v>0</v>
      </c>
      <c r="AW100" s="8">
        <f>IFERROR((AS100+AT100)*INDEX([1]Sheet1!$A$1:$A$13,MATCH((AS100+AT100),[1]Sheet1!$B$1:$B$13)),0)</f>
        <v>0</v>
      </c>
      <c r="BC100" s="1" t="str">
        <f t="shared" si="66"/>
        <v/>
      </c>
    </row>
    <row r="101" spans="1:55" ht="18" customHeight="1" x14ac:dyDescent="0.2">
      <c r="A101" s="4"/>
      <c r="B101" s="6"/>
      <c r="C101" s="6"/>
      <c r="D101" s="6"/>
      <c r="E101" s="6"/>
      <c r="F101" s="4"/>
      <c r="G101" s="7"/>
      <c r="H101" s="6">
        <f t="shared" si="46"/>
        <v>0</v>
      </c>
      <c r="I101" s="8"/>
      <c r="J101" s="8"/>
      <c r="K101" s="8">
        <f t="shared" si="47"/>
        <v>0</v>
      </c>
      <c r="L101" s="8">
        <f t="shared" si="39"/>
        <v>0</v>
      </c>
      <c r="M101" s="8">
        <f>IFERROR((I101+J101)*INDEX([1]Sheet1!$A$1:$A$13,MATCH((I101+J101),[1]Sheet1!$B$1:$B$13)),0)</f>
        <v>0</v>
      </c>
      <c r="N101" s="6">
        <f t="shared" si="48"/>
        <v>0</v>
      </c>
      <c r="O101" s="8"/>
      <c r="P101" s="8">
        <f t="shared" si="49"/>
        <v>0</v>
      </c>
      <c r="Q101" s="8">
        <f t="shared" si="50"/>
        <v>0</v>
      </c>
      <c r="R101" s="8">
        <f t="shared" si="40"/>
        <v>0</v>
      </c>
      <c r="S101" s="8">
        <f>IFERROR((O101+P101)*INDEX([1]Sheet1!$A$1:$A$13,MATCH((O101+P101),[1]Sheet1!$B$1:$B$13)),0)</f>
        <v>0</v>
      </c>
      <c r="T101" s="6">
        <f t="shared" si="51"/>
        <v>0</v>
      </c>
      <c r="U101" s="8"/>
      <c r="V101" s="8">
        <f t="shared" si="52"/>
        <v>0</v>
      </c>
      <c r="W101" s="8">
        <f t="shared" si="53"/>
        <v>0</v>
      </c>
      <c r="X101" s="8">
        <f t="shared" si="41"/>
        <v>0</v>
      </c>
      <c r="Y101" s="8">
        <f>IFERROR((U101+V101)*INDEX([1]Sheet1!$A$1:$A$13,MATCH((U101+V101),[1]Sheet1!$B$1:$B$13)),0)</f>
        <v>0</v>
      </c>
      <c r="Z101" s="6">
        <f t="shared" si="54"/>
        <v>0</v>
      </c>
      <c r="AA101" s="8"/>
      <c r="AB101" s="8">
        <f t="shared" si="55"/>
        <v>0</v>
      </c>
      <c r="AC101" s="8">
        <f t="shared" si="56"/>
        <v>0</v>
      </c>
      <c r="AD101" s="8">
        <f t="shared" si="42"/>
        <v>0</v>
      </c>
      <c r="AE101" s="8">
        <f>IFERROR((AA101+AB101)*INDEX([1]Sheet1!$A$1:$A$13,MATCH((AA101+AB101),[1]Sheet1!$B$1:$B$13)),0)</f>
        <v>0</v>
      </c>
      <c r="AF101" s="6">
        <f t="shared" si="57"/>
        <v>0</v>
      </c>
      <c r="AG101" s="8"/>
      <c r="AH101" s="8">
        <f t="shared" si="58"/>
        <v>0</v>
      </c>
      <c r="AI101" s="8">
        <f t="shared" si="59"/>
        <v>0</v>
      </c>
      <c r="AJ101" s="8">
        <f t="shared" si="43"/>
        <v>0</v>
      </c>
      <c r="AK101" s="8">
        <f>IFERROR((AG101+AH101)*INDEX([1]Sheet1!$A$1:$A$13,MATCH((AG101+AH101),[1]Sheet1!$B$1:$B$13)),0)</f>
        <v>0</v>
      </c>
      <c r="AL101" s="6">
        <f t="shared" si="60"/>
        <v>0</v>
      </c>
      <c r="AM101" s="8"/>
      <c r="AN101" s="8">
        <f t="shared" si="61"/>
        <v>0</v>
      </c>
      <c r="AO101" s="8">
        <f t="shared" si="62"/>
        <v>0</v>
      </c>
      <c r="AP101" s="8">
        <f t="shared" si="44"/>
        <v>0</v>
      </c>
      <c r="AQ101" s="8">
        <f>IFERROR((AM101+AN101)*INDEX([1]Sheet1!$A$1:$A$13,MATCH((AM101+AN101),[1]Sheet1!$B$1:$B$13)),0)</f>
        <v>0</v>
      </c>
      <c r="AR101" s="6">
        <f t="shared" si="63"/>
        <v>0</v>
      </c>
      <c r="AS101" s="8"/>
      <c r="AT101" s="8">
        <f t="shared" si="64"/>
        <v>0</v>
      </c>
      <c r="AU101" s="8">
        <f t="shared" si="65"/>
        <v>0</v>
      </c>
      <c r="AV101" s="8">
        <f t="shared" si="45"/>
        <v>0</v>
      </c>
      <c r="AW101" s="8">
        <f>IFERROR((AS101+AT101)*INDEX([1]Sheet1!$A$1:$A$13,MATCH((AS101+AT101),[1]Sheet1!$B$1:$B$13)),0)</f>
        <v>0</v>
      </c>
      <c r="BC101" s="1" t="str">
        <f t="shared" si="66"/>
        <v/>
      </c>
    </row>
    <row r="102" spans="1:55" ht="18" customHeight="1" x14ac:dyDescent="0.2">
      <c r="A102" s="4"/>
      <c r="B102" s="6"/>
      <c r="C102" s="6"/>
      <c r="D102" s="6"/>
      <c r="E102" s="6"/>
      <c r="F102" s="4"/>
      <c r="G102" s="7"/>
      <c r="H102" s="6">
        <f t="shared" si="46"/>
        <v>0</v>
      </c>
      <c r="I102" s="8"/>
      <c r="J102" s="8"/>
      <c r="K102" s="8">
        <f t="shared" si="47"/>
        <v>0</v>
      </c>
      <c r="L102" s="8">
        <f t="shared" si="39"/>
        <v>0</v>
      </c>
      <c r="M102" s="8">
        <f>IFERROR((I102+J102)*INDEX([1]Sheet1!$A$1:$A$13,MATCH((I102+J102),[1]Sheet1!$B$1:$B$13)),0)</f>
        <v>0</v>
      </c>
      <c r="N102" s="6">
        <f t="shared" si="48"/>
        <v>0</v>
      </c>
      <c r="O102" s="8"/>
      <c r="P102" s="8">
        <f t="shared" si="49"/>
        <v>0</v>
      </c>
      <c r="Q102" s="8">
        <f t="shared" si="50"/>
        <v>0</v>
      </c>
      <c r="R102" s="8">
        <f t="shared" si="40"/>
        <v>0</v>
      </c>
      <c r="S102" s="8">
        <f>IFERROR((O102+P102)*INDEX([1]Sheet1!$A$1:$A$13,MATCH((O102+P102),[1]Sheet1!$B$1:$B$13)),0)</f>
        <v>0</v>
      </c>
      <c r="T102" s="6">
        <f t="shared" si="51"/>
        <v>0</v>
      </c>
      <c r="U102" s="8"/>
      <c r="V102" s="8">
        <f t="shared" si="52"/>
        <v>0</v>
      </c>
      <c r="W102" s="8">
        <f t="shared" si="53"/>
        <v>0</v>
      </c>
      <c r="X102" s="8">
        <f t="shared" si="41"/>
        <v>0</v>
      </c>
      <c r="Y102" s="8">
        <f>IFERROR((U102+V102)*INDEX([1]Sheet1!$A$1:$A$13,MATCH((U102+V102),[1]Sheet1!$B$1:$B$13)),0)</f>
        <v>0</v>
      </c>
      <c r="Z102" s="6">
        <f t="shared" si="54"/>
        <v>0</v>
      </c>
      <c r="AA102" s="8"/>
      <c r="AB102" s="8">
        <f t="shared" si="55"/>
        <v>0</v>
      </c>
      <c r="AC102" s="8">
        <f t="shared" si="56"/>
        <v>0</v>
      </c>
      <c r="AD102" s="8">
        <f t="shared" si="42"/>
        <v>0</v>
      </c>
      <c r="AE102" s="8">
        <f>IFERROR((AA102+AB102)*INDEX([1]Sheet1!$A$1:$A$13,MATCH((AA102+AB102),[1]Sheet1!$B$1:$B$13)),0)</f>
        <v>0</v>
      </c>
      <c r="AF102" s="6">
        <f t="shared" si="57"/>
        <v>0</v>
      </c>
      <c r="AG102" s="8"/>
      <c r="AH102" s="8">
        <f t="shared" si="58"/>
        <v>0</v>
      </c>
      <c r="AI102" s="8">
        <f t="shared" si="59"/>
        <v>0</v>
      </c>
      <c r="AJ102" s="8">
        <f t="shared" si="43"/>
        <v>0</v>
      </c>
      <c r="AK102" s="8">
        <f>IFERROR((AG102+AH102)*INDEX([1]Sheet1!$A$1:$A$13,MATCH((AG102+AH102),[1]Sheet1!$B$1:$B$13)),0)</f>
        <v>0</v>
      </c>
      <c r="AL102" s="6">
        <f t="shared" si="60"/>
        <v>0</v>
      </c>
      <c r="AM102" s="8"/>
      <c r="AN102" s="8">
        <f t="shared" si="61"/>
        <v>0</v>
      </c>
      <c r="AO102" s="8">
        <f t="shared" si="62"/>
        <v>0</v>
      </c>
      <c r="AP102" s="8">
        <f t="shared" si="44"/>
        <v>0</v>
      </c>
      <c r="AQ102" s="8">
        <f>IFERROR((AM102+AN102)*INDEX([1]Sheet1!$A$1:$A$13,MATCH((AM102+AN102),[1]Sheet1!$B$1:$B$13)),0)</f>
        <v>0</v>
      </c>
      <c r="AR102" s="6">
        <f t="shared" si="63"/>
        <v>0</v>
      </c>
      <c r="AS102" s="8"/>
      <c r="AT102" s="8">
        <f t="shared" si="64"/>
        <v>0</v>
      </c>
      <c r="AU102" s="8">
        <f t="shared" si="65"/>
        <v>0</v>
      </c>
      <c r="AV102" s="8">
        <f t="shared" si="45"/>
        <v>0</v>
      </c>
      <c r="AW102" s="8">
        <f>IFERROR((AS102+AT102)*INDEX([1]Sheet1!$A$1:$A$13,MATCH((AS102+AT102),[1]Sheet1!$B$1:$B$13)),0)</f>
        <v>0</v>
      </c>
      <c r="BC102" s="1" t="str">
        <f t="shared" si="66"/>
        <v/>
      </c>
    </row>
    <row r="103" spans="1:55" ht="18" customHeight="1" x14ac:dyDescent="0.2">
      <c r="A103" s="4"/>
      <c r="B103" s="6"/>
      <c r="C103" s="6"/>
      <c r="D103" s="6"/>
      <c r="E103" s="6"/>
      <c r="F103" s="4"/>
      <c r="G103" s="7"/>
      <c r="H103" s="6">
        <f t="shared" si="46"/>
        <v>0</v>
      </c>
      <c r="I103" s="8"/>
      <c r="J103" s="8"/>
      <c r="K103" s="8">
        <f t="shared" si="47"/>
        <v>0</v>
      </c>
      <c r="L103" s="8">
        <f t="shared" si="39"/>
        <v>0</v>
      </c>
      <c r="M103" s="8">
        <f>IFERROR((I103+J103)*INDEX([1]Sheet1!$A$1:$A$13,MATCH((I103+J103),[1]Sheet1!$B$1:$B$13)),0)</f>
        <v>0</v>
      </c>
      <c r="N103" s="6">
        <f t="shared" si="48"/>
        <v>0</v>
      </c>
      <c r="O103" s="8"/>
      <c r="P103" s="8">
        <f t="shared" si="49"/>
        <v>0</v>
      </c>
      <c r="Q103" s="8">
        <f t="shared" si="50"/>
        <v>0</v>
      </c>
      <c r="R103" s="8">
        <f t="shared" si="40"/>
        <v>0</v>
      </c>
      <c r="S103" s="8">
        <f>IFERROR((O103+P103)*INDEX([1]Sheet1!$A$1:$A$13,MATCH((O103+P103),[1]Sheet1!$B$1:$B$13)),0)</f>
        <v>0</v>
      </c>
      <c r="T103" s="6">
        <f t="shared" si="51"/>
        <v>0</v>
      </c>
      <c r="U103" s="8"/>
      <c r="V103" s="8">
        <f t="shared" si="52"/>
        <v>0</v>
      </c>
      <c r="W103" s="8">
        <f t="shared" si="53"/>
        <v>0</v>
      </c>
      <c r="X103" s="8">
        <f t="shared" si="41"/>
        <v>0</v>
      </c>
      <c r="Y103" s="8">
        <f>IFERROR((U103+V103)*INDEX([1]Sheet1!$A$1:$A$13,MATCH((U103+V103),[1]Sheet1!$B$1:$B$13)),0)</f>
        <v>0</v>
      </c>
      <c r="Z103" s="6">
        <f t="shared" si="54"/>
        <v>0</v>
      </c>
      <c r="AA103" s="8"/>
      <c r="AB103" s="8">
        <f t="shared" si="55"/>
        <v>0</v>
      </c>
      <c r="AC103" s="8">
        <f t="shared" si="56"/>
        <v>0</v>
      </c>
      <c r="AD103" s="8">
        <f t="shared" si="42"/>
        <v>0</v>
      </c>
      <c r="AE103" s="8">
        <f>IFERROR((AA103+AB103)*INDEX([1]Sheet1!$A$1:$A$13,MATCH((AA103+AB103),[1]Sheet1!$B$1:$B$13)),0)</f>
        <v>0</v>
      </c>
      <c r="AF103" s="6">
        <f t="shared" si="57"/>
        <v>0</v>
      </c>
      <c r="AG103" s="8"/>
      <c r="AH103" s="8">
        <f t="shared" si="58"/>
        <v>0</v>
      </c>
      <c r="AI103" s="8">
        <f t="shared" si="59"/>
        <v>0</v>
      </c>
      <c r="AJ103" s="8">
        <f t="shared" si="43"/>
        <v>0</v>
      </c>
      <c r="AK103" s="8">
        <f>IFERROR((AG103+AH103)*INDEX([1]Sheet1!$A$1:$A$13,MATCH((AG103+AH103),[1]Sheet1!$B$1:$B$13)),0)</f>
        <v>0</v>
      </c>
      <c r="AL103" s="6">
        <f t="shared" si="60"/>
        <v>0</v>
      </c>
      <c r="AM103" s="8"/>
      <c r="AN103" s="8">
        <f t="shared" si="61"/>
        <v>0</v>
      </c>
      <c r="AO103" s="8">
        <f t="shared" si="62"/>
        <v>0</v>
      </c>
      <c r="AP103" s="8">
        <f t="shared" si="44"/>
        <v>0</v>
      </c>
      <c r="AQ103" s="8">
        <f>IFERROR((AM103+AN103)*INDEX([1]Sheet1!$A$1:$A$13,MATCH((AM103+AN103),[1]Sheet1!$B$1:$B$13)),0)</f>
        <v>0</v>
      </c>
      <c r="AR103" s="6">
        <f t="shared" si="63"/>
        <v>0</v>
      </c>
      <c r="AS103" s="8"/>
      <c r="AT103" s="8">
        <f t="shared" si="64"/>
        <v>0</v>
      </c>
      <c r="AU103" s="8">
        <f t="shared" si="65"/>
        <v>0</v>
      </c>
      <c r="AV103" s="8">
        <f t="shared" si="45"/>
        <v>0</v>
      </c>
      <c r="AW103" s="8">
        <f>IFERROR((AS103+AT103)*INDEX([1]Sheet1!$A$1:$A$13,MATCH((AS103+AT103),[1]Sheet1!$B$1:$B$13)),0)</f>
        <v>0</v>
      </c>
      <c r="BC103" s="1" t="str">
        <f t="shared" si="66"/>
        <v/>
      </c>
    </row>
    <row r="104" spans="1:55" ht="18" customHeight="1" x14ac:dyDescent="0.2">
      <c r="A104" s="4"/>
      <c r="B104" s="5"/>
      <c r="C104" s="6"/>
      <c r="D104" s="6"/>
      <c r="E104" s="6"/>
      <c r="F104" s="4"/>
      <c r="G104" s="7"/>
      <c r="H104" s="6">
        <f t="shared" si="46"/>
        <v>0</v>
      </c>
      <c r="I104" s="8"/>
      <c r="J104" s="8"/>
      <c r="K104" s="8">
        <f t="shared" si="47"/>
        <v>0</v>
      </c>
      <c r="L104" s="8">
        <f t="shared" si="39"/>
        <v>0</v>
      </c>
      <c r="M104" s="8">
        <f>IFERROR((I104+J104)*INDEX([1]Sheet1!$A$1:$A$13,MATCH((I104+J104),[1]Sheet1!$B$1:$B$13)),0)</f>
        <v>0</v>
      </c>
      <c r="N104" s="6">
        <f t="shared" si="48"/>
        <v>0</v>
      </c>
      <c r="O104" s="8"/>
      <c r="P104" s="8">
        <f t="shared" si="49"/>
        <v>0</v>
      </c>
      <c r="Q104" s="8">
        <f t="shared" si="50"/>
        <v>0</v>
      </c>
      <c r="R104" s="8">
        <f t="shared" si="40"/>
        <v>0</v>
      </c>
      <c r="S104" s="8">
        <f>IFERROR((O104+P104)*INDEX([1]Sheet1!$A$1:$A$13,MATCH((O104+P104),[1]Sheet1!$B$1:$B$13)),0)</f>
        <v>0</v>
      </c>
      <c r="T104" s="6">
        <f t="shared" si="51"/>
        <v>0</v>
      </c>
      <c r="U104" s="8"/>
      <c r="V104" s="8">
        <f t="shared" si="52"/>
        <v>0</v>
      </c>
      <c r="W104" s="8">
        <f t="shared" si="53"/>
        <v>0</v>
      </c>
      <c r="X104" s="8">
        <f t="shared" si="41"/>
        <v>0</v>
      </c>
      <c r="Y104" s="8">
        <f>IFERROR((U104+V104)*INDEX([1]Sheet1!$A$1:$A$13,MATCH((U104+V104),[1]Sheet1!$B$1:$B$13)),0)</f>
        <v>0</v>
      </c>
      <c r="Z104" s="6">
        <f t="shared" si="54"/>
        <v>0</v>
      </c>
      <c r="AA104" s="8"/>
      <c r="AB104" s="8">
        <f t="shared" si="55"/>
        <v>0</v>
      </c>
      <c r="AC104" s="8">
        <f t="shared" si="56"/>
        <v>0</v>
      </c>
      <c r="AD104" s="8">
        <f t="shared" si="42"/>
        <v>0</v>
      </c>
      <c r="AE104" s="8">
        <f>IFERROR((AA104+AB104)*INDEX([1]Sheet1!$A$1:$A$13,MATCH((AA104+AB104),[1]Sheet1!$B$1:$B$13)),0)</f>
        <v>0</v>
      </c>
      <c r="AF104" s="6">
        <f t="shared" si="57"/>
        <v>0</v>
      </c>
      <c r="AG104" s="8"/>
      <c r="AH104" s="8">
        <f t="shared" si="58"/>
        <v>0</v>
      </c>
      <c r="AI104" s="8">
        <f t="shared" si="59"/>
        <v>0</v>
      </c>
      <c r="AJ104" s="8">
        <f t="shared" si="43"/>
        <v>0</v>
      </c>
      <c r="AK104" s="8">
        <f>IFERROR((AG104+AH104)*INDEX([1]Sheet1!$A$1:$A$13,MATCH((AG104+AH104),[1]Sheet1!$B$1:$B$13)),0)</f>
        <v>0</v>
      </c>
      <c r="AL104" s="6">
        <f t="shared" si="60"/>
        <v>0</v>
      </c>
      <c r="AM104" s="8"/>
      <c r="AN104" s="8">
        <f t="shared" si="61"/>
        <v>0</v>
      </c>
      <c r="AO104" s="8">
        <f t="shared" si="62"/>
        <v>0</v>
      </c>
      <c r="AP104" s="8">
        <f t="shared" si="44"/>
        <v>0</v>
      </c>
      <c r="AQ104" s="8">
        <f>IFERROR((AM104+AN104)*INDEX([1]Sheet1!$A$1:$A$13,MATCH((AM104+AN104),[1]Sheet1!$B$1:$B$13)),0)</f>
        <v>0</v>
      </c>
      <c r="AR104" s="6">
        <f t="shared" si="63"/>
        <v>0</v>
      </c>
      <c r="AS104" s="8"/>
      <c r="AT104" s="8">
        <f t="shared" si="64"/>
        <v>0</v>
      </c>
      <c r="AU104" s="8">
        <f t="shared" si="65"/>
        <v>0</v>
      </c>
      <c r="AV104" s="8">
        <f t="shared" si="45"/>
        <v>0</v>
      </c>
      <c r="AW104" s="8">
        <f>IFERROR((AS104+AT104)*INDEX([1]Sheet1!$A$1:$A$13,MATCH((AS104+AT104),[1]Sheet1!$B$1:$B$13)),0)</f>
        <v>0</v>
      </c>
      <c r="BC104" s="1" t="str">
        <f t="shared" si="66"/>
        <v/>
      </c>
    </row>
    <row r="105" spans="1:55" ht="18" customHeight="1" x14ac:dyDescent="0.2">
      <c r="A105" s="4"/>
      <c r="B105" s="6"/>
      <c r="C105" s="6"/>
      <c r="D105" s="6"/>
      <c r="E105" s="6"/>
      <c r="F105" s="4"/>
      <c r="G105" s="7"/>
      <c r="H105" s="6">
        <f t="shared" si="46"/>
        <v>0</v>
      </c>
      <c r="I105" s="8"/>
      <c r="J105" s="8"/>
      <c r="K105" s="8">
        <f t="shared" si="47"/>
        <v>0</v>
      </c>
      <c r="L105" s="8">
        <f t="shared" si="39"/>
        <v>0</v>
      </c>
      <c r="M105" s="8">
        <f>IFERROR((I105+J105)*INDEX([1]Sheet1!$A$1:$A$13,MATCH((I105+J105),[1]Sheet1!$B$1:$B$13)),0)</f>
        <v>0</v>
      </c>
      <c r="N105" s="6">
        <f t="shared" si="48"/>
        <v>0</v>
      </c>
      <c r="O105" s="8"/>
      <c r="P105" s="8">
        <f t="shared" si="49"/>
        <v>0</v>
      </c>
      <c r="Q105" s="8">
        <f t="shared" si="50"/>
        <v>0</v>
      </c>
      <c r="R105" s="8">
        <f t="shared" si="40"/>
        <v>0</v>
      </c>
      <c r="S105" s="8">
        <f>IFERROR((O105+P105)*INDEX([1]Sheet1!$A$1:$A$13,MATCH((O105+P105),[1]Sheet1!$B$1:$B$13)),0)</f>
        <v>0</v>
      </c>
      <c r="T105" s="6">
        <f t="shared" si="51"/>
        <v>0</v>
      </c>
      <c r="U105" s="8"/>
      <c r="V105" s="8">
        <f t="shared" si="52"/>
        <v>0</v>
      </c>
      <c r="W105" s="8">
        <f t="shared" si="53"/>
        <v>0</v>
      </c>
      <c r="X105" s="8">
        <f t="shared" si="41"/>
        <v>0</v>
      </c>
      <c r="Y105" s="8">
        <f>IFERROR((U105+V105)*INDEX([1]Sheet1!$A$1:$A$13,MATCH((U105+V105),[1]Sheet1!$B$1:$B$13)),0)</f>
        <v>0</v>
      </c>
      <c r="Z105" s="6">
        <f t="shared" si="54"/>
        <v>0</v>
      </c>
      <c r="AA105" s="8"/>
      <c r="AB105" s="8">
        <f t="shared" si="55"/>
        <v>0</v>
      </c>
      <c r="AC105" s="8">
        <f t="shared" si="56"/>
        <v>0</v>
      </c>
      <c r="AD105" s="8">
        <f t="shared" si="42"/>
        <v>0</v>
      </c>
      <c r="AE105" s="8">
        <f>IFERROR((AA105+AB105)*INDEX([1]Sheet1!$A$1:$A$13,MATCH((AA105+AB105),[1]Sheet1!$B$1:$B$13)),0)</f>
        <v>0</v>
      </c>
      <c r="AF105" s="6">
        <f t="shared" si="57"/>
        <v>0</v>
      </c>
      <c r="AG105" s="8"/>
      <c r="AH105" s="8">
        <f t="shared" si="58"/>
        <v>0</v>
      </c>
      <c r="AI105" s="8">
        <f t="shared" si="59"/>
        <v>0</v>
      </c>
      <c r="AJ105" s="8">
        <f t="shared" si="43"/>
        <v>0</v>
      </c>
      <c r="AK105" s="8">
        <f>IFERROR((AG105+AH105)*INDEX([1]Sheet1!$A$1:$A$13,MATCH((AG105+AH105),[1]Sheet1!$B$1:$B$13)),0)</f>
        <v>0</v>
      </c>
      <c r="AL105" s="6">
        <f t="shared" si="60"/>
        <v>0</v>
      </c>
      <c r="AM105" s="8"/>
      <c r="AN105" s="8">
        <f t="shared" si="61"/>
        <v>0</v>
      </c>
      <c r="AO105" s="8">
        <f t="shared" si="62"/>
        <v>0</v>
      </c>
      <c r="AP105" s="8">
        <f t="shared" si="44"/>
        <v>0</v>
      </c>
      <c r="AQ105" s="8">
        <f>IFERROR((AM105+AN105)*INDEX([1]Sheet1!$A$1:$A$13,MATCH((AM105+AN105),[1]Sheet1!$B$1:$B$13)),0)</f>
        <v>0</v>
      </c>
      <c r="AR105" s="6">
        <f t="shared" si="63"/>
        <v>0</v>
      </c>
      <c r="AS105" s="8"/>
      <c r="AT105" s="8">
        <f t="shared" si="64"/>
        <v>0</v>
      </c>
      <c r="AU105" s="8">
        <f t="shared" si="65"/>
        <v>0</v>
      </c>
      <c r="AV105" s="8">
        <f t="shared" si="45"/>
        <v>0</v>
      </c>
      <c r="AW105" s="8">
        <f>IFERROR((AS105+AT105)*INDEX([1]Sheet1!$A$1:$A$13,MATCH((AS105+AT105),[1]Sheet1!$B$1:$B$13)),0)</f>
        <v>0</v>
      </c>
      <c r="BC105" s="1" t="str">
        <f t="shared" si="66"/>
        <v/>
      </c>
    </row>
    <row r="106" spans="1:55" ht="18" customHeight="1" x14ac:dyDescent="0.2">
      <c r="A106" s="4"/>
      <c r="B106" s="6"/>
      <c r="C106" s="6"/>
      <c r="D106" s="6"/>
      <c r="E106" s="6"/>
      <c r="F106" s="4"/>
      <c r="G106" s="7"/>
      <c r="H106" s="6">
        <f t="shared" si="46"/>
        <v>0</v>
      </c>
      <c r="I106" s="8"/>
      <c r="J106" s="8"/>
      <c r="K106" s="8">
        <f t="shared" si="47"/>
        <v>0</v>
      </c>
      <c r="L106" s="8">
        <f t="shared" si="39"/>
        <v>0</v>
      </c>
      <c r="M106" s="8">
        <f>IFERROR((I106+J106)*INDEX([1]Sheet1!$A$1:$A$13,MATCH((I106+J106),[1]Sheet1!$B$1:$B$13)),0)</f>
        <v>0</v>
      </c>
      <c r="N106" s="6">
        <f t="shared" si="48"/>
        <v>0</v>
      </c>
      <c r="O106" s="8"/>
      <c r="P106" s="8">
        <f t="shared" si="49"/>
        <v>0</v>
      </c>
      <c r="Q106" s="8">
        <f t="shared" si="50"/>
        <v>0</v>
      </c>
      <c r="R106" s="8">
        <f t="shared" si="40"/>
        <v>0</v>
      </c>
      <c r="S106" s="8">
        <f>IFERROR((O106+P106)*INDEX([1]Sheet1!$A$1:$A$13,MATCH((O106+P106),[1]Sheet1!$B$1:$B$13)),0)</f>
        <v>0</v>
      </c>
      <c r="T106" s="6">
        <f t="shared" si="51"/>
        <v>0</v>
      </c>
      <c r="U106" s="8"/>
      <c r="V106" s="8">
        <f t="shared" si="52"/>
        <v>0</v>
      </c>
      <c r="W106" s="8">
        <f t="shared" si="53"/>
        <v>0</v>
      </c>
      <c r="X106" s="8">
        <f t="shared" si="41"/>
        <v>0</v>
      </c>
      <c r="Y106" s="8">
        <f>IFERROR((U106+V106)*INDEX([1]Sheet1!$A$1:$A$13,MATCH((U106+V106),[1]Sheet1!$B$1:$B$13)),0)</f>
        <v>0</v>
      </c>
      <c r="Z106" s="6">
        <f t="shared" si="54"/>
        <v>0</v>
      </c>
      <c r="AA106" s="8"/>
      <c r="AB106" s="8">
        <f t="shared" si="55"/>
        <v>0</v>
      </c>
      <c r="AC106" s="8">
        <f t="shared" si="56"/>
        <v>0</v>
      </c>
      <c r="AD106" s="8">
        <f t="shared" si="42"/>
        <v>0</v>
      </c>
      <c r="AE106" s="8">
        <f>IFERROR((AA106+AB106)*INDEX([1]Sheet1!$A$1:$A$13,MATCH((AA106+AB106),[1]Sheet1!$B$1:$B$13)),0)</f>
        <v>0</v>
      </c>
      <c r="AF106" s="6">
        <f t="shared" si="57"/>
        <v>0</v>
      </c>
      <c r="AG106" s="8"/>
      <c r="AH106" s="8">
        <f t="shared" si="58"/>
        <v>0</v>
      </c>
      <c r="AI106" s="8">
        <f t="shared" si="59"/>
        <v>0</v>
      </c>
      <c r="AJ106" s="8">
        <f t="shared" si="43"/>
        <v>0</v>
      </c>
      <c r="AK106" s="8">
        <f>IFERROR((AG106+AH106)*INDEX([1]Sheet1!$A$1:$A$13,MATCH((AG106+AH106),[1]Sheet1!$B$1:$B$13)),0)</f>
        <v>0</v>
      </c>
      <c r="AL106" s="6">
        <f t="shared" si="60"/>
        <v>0</v>
      </c>
      <c r="AM106" s="8"/>
      <c r="AN106" s="8">
        <f t="shared" si="61"/>
        <v>0</v>
      </c>
      <c r="AO106" s="8">
        <f t="shared" si="62"/>
        <v>0</v>
      </c>
      <c r="AP106" s="8">
        <f t="shared" si="44"/>
        <v>0</v>
      </c>
      <c r="AQ106" s="8">
        <f>IFERROR((AM106+AN106)*INDEX([1]Sheet1!$A$1:$A$13,MATCH((AM106+AN106),[1]Sheet1!$B$1:$B$13)),0)</f>
        <v>0</v>
      </c>
      <c r="AR106" s="6">
        <f t="shared" si="63"/>
        <v>0</v>
      </c>
      <c r="AS106" s="8"/>
      <c r="AT106" s="8">
        <f t="shared" si="64"/>
        <v>0</v>
      </c>
      <c r="AU106" s="8">
        <f t="shared" si="65"/>
        <v>0</v>
      </c>
      <c r="AV106" s="8">
        <f t="shared" si="45"/>
        <v>0</v>
      </c>
      <c r="AW106" s="8">
        <f>IFERROR((AS106+AT106)*INDEX([1]Sheet1!$A$1:$A$13,MATCH((AS106+AT106),[1]Sheet1!$B$1:$B$13)),0)</f>
        <v>0</v>
      </c>
      <c r="BC106" s="1" t="str">
        <f t="shared" si="66"/>
        <v/>
      </c>
    </row>
    <row r="107" spans="1:55" ht="18" customHeight="1" x14ac:dyDescent="0.2">
      <c r="A107" s="4"/>
      <c r="B107" s="6"/>
      <c r="C107" s="6"/>
      <c r="D107" s="6"/>
      <c r="E107" s="6"/>
      <c r="F107" s="4"/>
      <c r="G107" s="7"/>
      <c r="H107" s="6">
        <f t="shared" si="46"/>
        <v>0</v>
      </c>
      <c r="I107" s="8"/>
      <c r="J107" s="8"/>
      <c r="K107" s="8">
        <f t="shared" si="47"/>
        <v>0</v>
      </c>
      <c r="L107" s="8">
        <f t="shared" si="39"/>
        <v>0</v>
      </c>
      <c r="M107" s="8">
        <f>IFERROR((I107+J107)*INDEX([1]Sheet1!$A$1:$A$13,MATCH((I107+J107),[1]Sheet1!$B$1:$B$13)),0)</f>
        <v>0</v>
      </c>
      <c r="N107" s="6">
        <f t="shared" si="48"/>
        <v>0</v>
      </c>
      <c r="O107" s="8"/>
      <c r="P107" s="8">
        <f t="shared" si="49"/>
        <v>0</v>
      </c>
      <c r="Q107" s="8">
        <f t="shared" si="50"/>
        <v>0</v>
      </c>
      <c r="R107" s="8">
        <f t="shared" si="40"/>
        <v>0</v>
      </c>
      <c r="S107" s="8">
        <f>IFERROR((O107+P107)*INDEX([1]Sheet1!$A$1:$A$13,MATCH((O107+P107),[1]Sheet1!$B$1:$B$13)),0)</f>
        <v>0</v>
      </c>
      <c r="T107" s="6">
        <f t="shared" si="51"/>
        <v>0</v>
      </c>
      <c r="U107" s="8"/>
      <c r="V107" s="8">
        <f t="shared" si="52"/>
        <v>0</v>
      </c>
      <c r="W107" s="8">
        <f t="shared" si="53"/>
        <v>0</v>
      </c>
      <c r="X107" s="8">
        <f t="shared" si="41"/>
        <v>0</v>
      </c>
      <c r="Y107" s="8">
        <f>IFERROR((U107+V107)*INDEX([1]Sheet1!$A$1:$A$13,MATCH((U107+V107),[1]Sheet1!$B$1:$B$13)),0)</f>
        <v>0</v>
      </c>
      <c r="Z107" s="6">
        <f t="shared" si="54"/>
        <v>0</v>
      </c>
      <c r="AA107" s="8"/>
      <c r="AB107" s="8">
        <f t="shared" si="55"/>
        <v>0</v>
      </c>
      <c r="AC107" s="8">
        <f t="shared" si="56"/>
        <v>0</v>
      </c>
      <c r="AD107" s="8">
        <f t="shared" si="42"/>
        <v>0</v>
      </c>
      <c r="AE107" s="8">
        <f>IFERROR((AA107+AB107)*INDEX([1]Sheet1!$A$1:$A$13,MATCH((AA107+AB107),[1]Sheet1!$B$1:$B$13)),0)</f>
        <v>0</v>
      </c>
      <c r="AF107" s="6">
        <f t="shared" si="57"/>
        <v>0</v>
      </c>
      <c r="AG107" s="8"/>
      <c r="AH107" s="8">
        <f t="shared" si="58"/>
        <v>0</v>
      </c>
      <c r="AI107" s="8">
        <f t="shared" si="59"/>
        <v>0</v>
      </c>
      <c r="AJ107" s="8">
        <f t="shared" si="43"/>
        <v>0</v>
      </c>
      <c r="AK107" s="8">
        <f>IFERROR((AG107+AH107)*INDEX([1]Sheet1!$A$1:$A$13,MATCH((AG107+AH107),[1]Sheet1!$B$1:$B$13)),0)</f>
        <v>0</v>
      </c>
      <c r="AL107" s="6">
        <f t="shared" si="60"/>
        <v>0</v>
      </c>
      <c r="AM107" s="8"/>
      <c r="AN107" s="8">
        <f t="shared" si="61"/>
        <v>0</v>
      </c>
      <c r="AO107" s="8">
        <f t="shared" si="62"/>
        <v>0</v>
      </c>
      <c r="AP107" s="8">
        <f t="shared" si="44"/>
        <v>0</v>
      </c>
      <c r="AQ107" s="8">
        <f>IFERROR((AM107+AN107)*INDEX([1]Sheet1!$A$1:$A$13,MATCH((AM107+AN107),[1]Sheet1!$B$1:$B$13)),0)</f>
        <v>0</v>
      </c>
      <c r="AR107" s="6">
        <f t="shared" si="63"/>
        <v>0</v>
      </c>
      <c r="AS107" s="8"/>
      <c r="AT107" s="8">
        <f t="shared" si="64"/>
        <v>0</v>
      </c>
      <c r="AU107" s="8">
        <f t="shared" si="65"/>
        <v>0</v>
      </c>
      <c r="AV107" s="8">
        <f t="shared" si="45"/>
        <v>0</v>
      </c>
      <c r="AW107" s="8">
        <f>IFERROR((AS107+AT107)*INDEX([1]Sheet1!$A$1:$A$13,MATCH((AS107+AT107),[1]Sheet1!$B$1:$B$13)),0)</f>
        <v>0</v>
      </c>
      <c r="BC107" s="1" t="str">
        <f t="shared" si="66"/>
        <v/>
      </c>
    </row>
    <row r="108" spans="1:55" ht="18" customHeight="1" x14ac:dyDescent="0.2">
      <c r="A108" s="4"/>
      <c r="B108" s="6"/>
      <c r="C108" s="6"/>
      <c r="D108" s="6"/>
      <c r="E108" s="6"/>
      <c r="F108" s="4"/>
      <c r="G108" s="7"/>
      <c r="H108" s="6">
        <f t="shared" si="46"/>
        <v>0</v>
      </c>
      <c r="I108" s="8"/>
      <c r="J108" s="8"/>
      <c r="K108" s="8">
        <f t="shared" si="47"/>
        <v>0</v>
      </c>
      <c r="L108" s="8">
        <f t="shared" si="39"/>
        <v>0</v>
      </c>
      <c r="M108" s="8">
        <f>IFERROR((I108+J108)*INDEX([1]Sheet1!$A$1:$A$13,MATCH((I108+J108),[1]Sheet1!$B$1:$B$13)),0)</f>
        <v>0</v>
      </c>
      <c r="N108" s="6">
        <f t="shared" si="48"/>
        <v>0</v>
      </c>
      <c r="O108" s="8"/>
      <c r="P108" s="8">
        <f t="shared" si="49"/>
        <v>0</v>
      </c>
      <c r="Q108" s="8">
        <f t="shared" si="50"/>
        <v>0</v>
      </c>
      <c r="R108" s="8">
        <f t="shared" si="40"/>
        <v>0</v>
      </c>
      <c r="S108" s="8">
        <f>IFERROR((O108+P108)*INDEX([1]Sheet1!$A$1:$A$13,MATCH((O108+P108),[1]Sheet1!$B$1:$B$13)),0)</f>
        <v>0</v>
      </c>
      <c r="T108" s="6">
        <f t="shared" si="51"/>
        <v>0</v>
      </c>
      <c r="U108" s="8"/>
      <c r="V108" s="8">
        <f t="shared" si="52"/>
        <v>0</v>
      </c>
      <c r="W108" s="8">
        <f t="shared" si="53"/>
        <v>0</v>
      </c>
      <c r="X108" s="8">
        <f t="shared" si="41"/>
        <v>0</v>
      </c>
      <c r="Y108" s="8">
        <f>IFERROR((U108+V108)*INDEX([1]Sheet1!$A$1:$A$13,MATCH((U108+V108),[1]Sheet1!$B$1:$B$13)),0)</f>
        <v>0</v>
      </c>
      <c r="Z108" s="6">
        <f t="shared" si="54"/>
        <v>0</v>
      </c>
      <c r="AA108" s="8"/>
      <c r="AB108" s="8">
        <f t="shared" si="55"/>
        <v>0</v>
      </c>
      <c r="AC108" s="8">
        <f t="shared" si="56"/>
        <v>0</v>
      </c>
      <c r="AD108" s="8">
        <f t="shared" si="42"/>
        <v>0</v>
      </c>
      <c r="AE108" s="8">
        <f>IFERROR((AA108+AB108)*INDEX([1]Sheet1!$A$1:$A$13,MATCH((AA108+AB108),[1]Sheet1!$B$1:$B$13)),0)</f>
        <v>0</v>
      </c>
      <c r="AF108" s="6">
        <f t="shared" si="57"/>
        <v>0</v>
      </c>
      <c r="AG108" s="8"/>
      <c r="AH108" s="8">
        <f t="shared" si="58"/>
        <v>0</v>
      </c>
      <c r="AI108" s="8">
        <f t="shared" si="59"/>
        <v>0</v>
      </c>
      <c r="AJ108" s="8">
        <f t="shared" si="43"/>
        <v>0</v>
      </c>
      <c r="AK108" s="8">
        <f>IFERROR((AG108+AH108)*INDEX([1]Sheet1!$A$1:$A$13,MATCH((AG108+AH108),[1]Sheet1!$B$1:$B$13)),0)</f>
        <v>0</v>
      </c>
      <c r="AL108" s="6">
        <f t="shared" si="60"/>
        <v>0</v>
      </c>
      <c r="AM108" s="8"/>
      <c r="AN108" s="8">
        <f t="shared" si="61"/>
        <v>0</v>
      </c>
      <c r="AO108" s="8">
        <f t="shared" si="62"/>
        <v>0</v>
      </c>
      <c r="AP108" s="8">
        <f t="shared" si="44"/>
        <v>0</v>
      </c>
      <c r="AQ108" s="8">
        <f>IFERROR((AM108+AN108)*INDEX([1]Sheet1!$A$1:$A$13,MATCH((AM108+AN108),[1]Sheet1!$B$1:$B$13)),0)</f>
        <v>0</v>
      </c>
      <c r="AR108" s="6">
        <f t="shared" si="63"/>
        <v>0</v>
      </c>
      <c r="AS108" s="8"/>
      <c r="AT108" s="8">
        <f t="shared" si="64"/>
        <v>0</v>
      </c>
      <c r="AU108" s="8">
        <f t="shared" si="65"/>
        <v>0</v>
      </c>
      <c r="AV108" s="8">
        <f t="shared" si="45"/>
        <v>0</v>
      </c>
      <c r="AW108" s="8">
        <f>IFERROR((AS108+AT108)*INDEX([1]Sheet1!$A$1:$A$13,MATCH((AS108+AT108),[1]Sheet1!$B$1:$B$13)),0)</f>
        <v>0</v>
      </c>
      <c r="BC108" s="1" t="str">
        <f t="shared" si="66"/>
        <v/>
      </c>
    </row>
    <row r="109" spans="1:55" ht="18" customHeight="1" x14ac:dyDescent="0.2">
      <c r="A109" s="4"/>
      <c r="B109" s="9"/>
      <c r="C109" s="6"/>
      <c r="D109" s="6"/>
      <c r="E109" s="6"/>
      <c r="F109" s="4"/>
      <c r="G109" s="7"/>
      <c r="H109" s="6">
        <f t="shared" si="46"/>
        <v>0</v>
      </c>
      <c r="I109" s="8"/>
      <c r="J109" s="8"/>
      <c r="K109" s="8">
        <f t="shared" si="47"/>
        <v>0</v>
      </c>
      <c r="L109" s="8">
        <f t="shared" si="39"/>
        <v>0</v>
      </c>
      <c r="M109" s="8">
        <f>IFERROR((I109+J109)*INDEX([1]Sheet1!$A$1:$A$13,MATCH((I109+J109),[1]Sheet1!$B$1:$B$13)),0)</f>
        <v>0</v>
      </c>
      <c r="N109" s="6">
        <f t="shared" si="48"/>
        <v>0</v>
      </c>
      <c r="O109" s="8"/>
      <c r="P109" s="8">
        <f t="shared" si="49"/>
        <v>0</v>
      </c>
      <c r="Q109" s="8">
        <f t="shared" si="50"/>
        <v>0</v>
      </c>
      <c r="R109" s="8">
        <f t="shared" si="40"/>
        <v>0</v>
      </c>
      <c r="S109" s="8">
        <f>IFERROR((O109+P109)*INDEX([1]Sheet1!$A$1:$A$13,MATCH((O109+P109),[1]Sheet1!$B$1:$B$13)),0)</f>
        <v>0</v>
      </c>
      <c r="T109" s="6">
        <f t="shared" si="51"/>
        <v>0</v>
      </c>
      <c r="U109" s="8"/>
      <c r="V109" s="8">
        <f t="shared" si="52"/>
        <v>0</v>
      </c>
      <c r="W109" s="8">
        <f t="shared" si="53"/>
        <v>0</v>
      </c>
      <c r="X109" s="8">
        <f t="shared" si="41"/>
        <v>0</v>
      </c>
      <c r="Y109" s="8">
        <f>IFERROR((U109+V109)*INDEX([1]Sheet1!$A$1:$A$13,MATCH((U109+V109),[1]Sheet1!$B$1:$B$13)),0)</f>
        <v>0</v>
      </c>
      <c r="Z109" s="6">
        <f t="shared" si="54"/>
        <v>0</v>
      </c>
      <c r="AA109" s="8"/>
      <c r="AB109" s="8">
        <f t="shared" si="55"/>
        <v>0</v>
      </c>
      <c r="AC109" s="8">
        <f t="shared" si="56"/>
        <v>0</v>
      </c>
      <c r="AD109" s="8">
        <f t="shared" si="42"/>
        <v>0</v>
      </c>
      <c r="AE109" s="8">
        <f>IFERROR((AA109+AB109)*INDEX([1]Sheet1!$A$1:$A$13,MATCH((AA109+AB109),[1]Sheet1!$B$1:$B$13)),0)</f>
        <v>0</v>
      </c>
      <c r="AF109" s="6">
        <f t="shared" si="57"/>
        <v>0</v>
      </c>
      <c r="AG109" s="8"/>
      <c r="AH109" s="8">
        <f t="shared" si="58"/>
        <v>0</v>
      </c>
      <c r="AI109" s="8">
        <f t="shared" si="59"/>
        <v>0</v>
      </c>
      <c r="AJ109" s="8">
        <f t="shared" si="43"/>
        <v>0</v>
      </c>
      <c r="AK109" s="8">
        <f>IFERROR((AG109+AH109)*INDEX([1]Sheet1!$A$1:$A$13,MATCH((AG109+AH109),[1]Sheet1!$B$1:$B$13)),0)</f>
        <v>0</v>
      </c>
      <c r="AL109" s="6">
        <f t="shared" si="60"/>
        <v>0</v>
      </c>
      <c r="AM109" s="8"/>
      <c r="AN109" s="8">
        <f t="shared" si="61"/>
        <v>0</v>
      </c>
      <c r="AO109" s="8">
        <f t="shared" si="62"/>
        <v>0</v>
      </c>
      <c r="AP109" s="8">
        <f t="shared" si="44"/>
        <v>0</v>
      </c>
      <c r="AQ109" s="8">
        <f>IFERROR((AM109+AN109)*INDEX([1]Sheet1!$A$1:$A$13,MATCH((AM109+AN109),[1]Sheet1!$B$1:$B$13)),0)</f>
        <v>0</v>
      </c>
      <c r="AR109" s="6">
        <f t="shared" si="63"/>
        <v>0</v>
      </c>
      <c r="AS109" s="8"/>
      <c r="AT109" s="8">
        <f t="shared" si="64"/>
        <v>0</v>
      </c>
      <c r="AU109" s="8">
        <f t="shared" si="65"/>
        <v>0</v>
      </c>
      <c r="AV109" s="8">
        <f t="shared" si="45"/>
        <v>0</v>
      </c>
      <c r="AW109" s="8">
        <f>IFERROR((AS109+AT109)*INDEX([1]Sheet1!$A$1:$A$13,MATCH((AS109+AT109),[1]Sheet1!$B$1:$B$13)),0)</f>
        <v>0</v>
      </c>
      <c r="BC109" s="1" t="str">
        <f t="shared" si="66"/>
        <v/>
      </c>
    </row>
    <row r="110" spans="1:55" ht="18" customHeight="1" x14ac:dyDescent="0.2">
      <c r="A110" s="4"/>
      <c r="B110" s="6"/>
      <c r="C110" s="6"/>
      <c r="D110" s="6"/>
      <c r="E110" s="6"/>
      <c r="F110" s="4"/>
      <c r="G110" s="7"/>
      <c r="H110" s="6">
        <f t="shared" si="46"/>
        <v>0</v>
      </c>
      <c r="I110" s="8"/>
      <c r="J110" s="8"/>
      <c r="K110" s="8">
        <f t="shared" si="47"/>
        <v>0</v>
      </c>
      <c r="L110" s="8">
        <f t="shared" si="39"/>
        <v>0</v>
      </c>
      <c r="M110" s="8">
        <f>IFERROR((I110+J110)*INDEX([1]Sheet1!$A$1:$A$13,MATCH((I110+J110),[1]Sheet1!$B$1:$B$13)),0)</f>
        <v>0</v>
      </c>
      <c r="N110" s="6">
        <f t="shared" si="48"/>
        <v>0</v>
      </c>
      <c r="O110" s="8"/>
      <c r="P110" s="8">
        <f t="shared" si="49"/>
        <v>0</v>
      </c>
      <c r="Q110" s="8">
        <f t="shared" si="50"/>
        <v>0</v>
      </c>
      <c r="R110" s="8">
        <f t="shared" si="40"/>
        <v>0</v>
      </c>
      <c r="S110" s="8">
        <f>IFERROR((O110+P110)*INDEX([1]Sheet1!$A$1:$A$13,MATCH((O110+P110),[1]Sheet1!$B$1:$B$13)),0)</f>
        <v>0</v>
      </c>
      <c r="T110" s="6">
        <f t="shared" si="51"/>
        <v>0</v>
      </c>
      <c r="U110" s="8"/>
      <c r="V110" s="8">
        <f t="shared" si="52"/>
        <v>0</v>
      </c>
      <c r="W110" s="8">
        <f t="shared" si="53"/>
        <v>0</v>
      </c>
      <c r="X110" s="8">
        <f t="shared" si="41"/>
        <v>0</v>
      </c>
      <c r="Y110" s="8">
        <f>IFERROR((U110+V110)*INDEX([1]Sheet1!$A$1:$A$13,MATCH((U110+V110),[1]Sheet1!$B$1:$B$13)),0)</f>
        <v>0</v>
      </c>
      <c r="Z110" s="6">
        <f t="shared" si="54"/>
        <v>0</v>
      </c>
      <c r="AA110" s="8"/>
      <c r="AB110" s="8">
        <f t="shared" si="55"/>
        <v>0</v>
      </c>
      <c r="AC110" s="8">
        <f t="shared" si="56"/>
        <v>0</v>
      </c>
      <c r="AD110" s="8">
        <f t="shared" si="42"/>
        <v>0</v>
      </c>
      <c r="AE110" s="8">
        <f>IFERROR((AA110+AB110)*INDEX([1]Sheet1!$A$1:$A$13,MATCH((AA110+AB110),[1]Sheet1!$B$1:$B$13)),0)</f>
        <v>0</v>
      </c>
      <c r="AF110" s="6">
        <f t="shared" si="57"/>
        <v>0</v>
      </c>
      <c r="AG110" s="8"/>
      <c r="AH110" s="8">
        <f t="shared" si="58"/>
        <v>0</v>
      </c>
      <c r="AI110" s="8">
        <f t="shared" si="59"/>
        <v>0</v>
      </c>
      <c r="AJ110" s="8">
        <f t="shared" si="43"/>
        <v>0</v>
      </c>
      <c r="AK110" s="8">
        <f>IFERROR((AG110+AH110)*INDEX([1]Sheet1!$A$1:$A$13,MATCH((AG110+AH110),[1]Sheet1!$B$1:$B$13)),0)</f>
        <v>0</v>
      </c>
      <c r="AL110" s="6">
        <f t="shared" si="60"/>
        <v>0</v>
      </c>
      <c r="AM110" s="8"/>
      <c r="AN110" s="8">
        <f t="shared" si="61"/>
        <v>0</v>
      </c>
      <c r="AO110" s="8">
        <f t="shared" si="62"/>
        <v>0</v>
      </c>
      <c r="AP110" s="8">
        <f t="shared" si="44"/>
        <v>0</v>
      </c>
      <c r="AQ110" s="8">
        <f>IFERROR((AM110+AN110)*INDEX([1]Sheet1!$A$1:$A$13,MATCH((AM110+AN110),[1]Sheet1!$B$1:$B$13)),0)</f>
        <v>0</v>
      </c>
      <c r="AR110" s="6">
        <f t="shared" si="63"/>
        <v>0</v>
      </c>
      <c r="AS110" s="8"/>
      <c r="AT110" s="8">
        <f t="shared" si="64"/>
        <v>0</v>
      </c>
      <c r="AU110" s="8">
        <f t="shared" si="65"/>
        <v>0</v>
      </c>
      <c r="AV110" s="8">
        <f t="shared" si="45"/>
        <v>0</v>
      </c>
      <c r="AW110" s="8">
        <f>IFERROR((AS110+AT110)*INDEX([1]Sheet1!$A$1:$A$13,MATCH((AS110+AT110),[1]Sheet1!$B$1:$B$13)),0)</f>
        <v>0</v>
      </c>
      <c r="BC110" s="1" t="str">
        <f t="shared" si="66"/>
        <v/>
      </c>
    </row>
    <row r="111" spans="1:55" ht="18" customHeight="1" x14ac:dyDescent="0.2">
      <c r="A111" s="4"/>
      <c r="B111" s="9"/>
      <c r="C111" s="6"/>
      <c r="D111" s="6"/>
      <c r="E111" s="6"/>
      <c r="F111" s="4"/>
      <c r="G111" s="7"/>
      <c r="H111" s="6">
        <f t="shared" si="46"/>
        <v>0</v>
      </c>
      <c r="I111" s="8"/>
      <c r="J111" s="8"/>
      <c r="K111" s="8">
        <f t="shared" si="47"/>
        <v>0</v>
      </c>
      <c r="L111" s="8">
        <f t="shared" si="39"/>
        <v>0</v>
      </c>
      <c r="M111" s="8">
        <f>IFERROR((I111+J111)*INDEX([1]Sheet1!$A$1:$A$13,MATCH((I111+J111),[1]Sheet1!$B$1:$B$13)),0)</f>
        <v>0</v>
      </c>
      <c r="N111" s="6">
        <f t="shared" si="48"/>
        <v>0</v>
      </c>
      <c r="O111" s="8"/>
      <c r="P111" s="8">
        <f t="shared" si="49"/>
        <v>0</v>
      </c>
      <c r="Q111" s="8">
        <f t="shared" si="50"/>
        <v>0</v>
      </c>
      <c r="R111" s="8">
        <f t="shared" si="40"/>
        <v>0</v>
      </c>
      <c r="S111" s="8">
        <f>IFERROR((O111+P111)*INDEX([1]Sheet1!$A$1:$A$13,MATCH((O111+P111),[1]Sheet1!$B$1:$B$13)),0)</f>
        <v>0</v>
      </c>
      <c r="T111" s="6">
        <f t="shared" si="51"/>
        <v>0</v>
      </c>
      <c r="U111" s="8"/>
      <c r="V111" s="8">
        <f t="shared" si="52"/>
        <v>0</v>
      </c>
      <c r="W111" s="8">
        <f t="shared" si="53"/>
        <v>0</v>
      </c>
      <c r="X111" s="8">
        <f t="shared" si="41"/>
        <v>0</v>
      </c>
      <c r="Y111" s="8">
        <f>IFERROR((U111+V111)*INDEX([1]Sheet1!$A$1:$A$13,MATCH((U111+V111),[1]Sheet1!$B$1:$B$13)),0)</f>
        <v>0</v>
      </c>
      <c r="Z111" s="6">
        <f t="shared" si="54"/>
        <v>0</v>
      </c>
      <c r="AA111" s="8"/>
      <c r="AB111" s="8">
        <f t="shared" si="55"/>
        <v>0</v>
      </c>
      <c r="AC111" s="8">
        <f t="shared" si="56"/>
        <v>0</v>
      </c>
      <c r="AD111" s="8">
        <f t="shared" si="42"/>
        <v>0</v>
      </c>
      <c r="AE111" s="8">
        <f>IFERROR((AA111+AB111)*INDEX([1]Sheet1!$A$1:$A$13,MATCH((AA111+AB111),[1]Sheet1!$B$1:$B$13)),0)</f>
        <v>0</v>
      </c>
      <c r="AF111" s="6">
        <f t="shared" si="57"/>
        <v>0</v>
      </c>
      <c r="AG111" s="8"/>
      <c r="AH111" s="8">
        <f t="shared" si="58"/>
        <v>0</v>
      </c>
      <c r="AI111" s="8">
        <f t="shared" si="59"/>
        <v>0</v>
      </c>
      <c r="AJ111" s="8">
        <f t="shared" si="43"/>
        <v>0</v>
      </c>
      <c r="AK111" s="8">
        <f>IFERROR((AG111+AH111)*INDEX([1]Sheet1!$A$1:$A$13,MATCH((AG111+AH111),[1]Sheet1!$B$1:$B$13)),0)</f>
        <v>0</v>
      </c>
      <c r="AL111" s="6">
        <f t="shared" si="60"/>
        <v>0</v>
      </c>
      <c r="AM111" s="8"/>
      <c r="AN111" s="8">
        <f t="shared" si="61"/>
        <v>0</v>
      </c>
      <c r="AO111" s="8">
        <f t="shared" si="62"/>
        <v>0</v>
      </c>
      <c r="AP111" s="8">
        <f t="shared" si="44"/>
        <v>0</v>
      </c>
      <c r="AQ111" s="8">
        <f>IFERROR((AM111+AN111)*INDEX([1]Sheet1!$A$1:$A$13,MATCH((AM111+AN111),[1]Sheet1!$B$1:$B$13)),0)</f>
        <v>0</v>
      </c>
      <c r="AR111" s="6">
        <f t="shared" si="63"/>
        <v>0</v>
      </c>
      <c r="AS111" s="8"/>
      <c r="AT111" s="8">
        <f t="shared" si="64"/>
        <v>0</v>
      </c>
      <c r="AU111" s="8">
        <f t="shared" si="65"/>
        <v>0</v>
      </c>
      <c r="AV111" s="8">
        <f t="shared" si="45"/>
        <v>0</v>
      </c>
      <c r="AW111" s="8">
        <f>IFERROR((AS111+AT111)*INDEX([1]Sheet1!$A$1:$A$13,MATCH((AS111+AT111),[1]Sheet1!$B$1:$B$13)),0)</f>
        <v>0</v>
      </c>
      <c r="BC111" s="1" t="str">
        <f t="shared" si="66"/>
        <v/>
      </c>
    </row>
    <row r="112" spans="1:55" ht="18" customHeight="1" x14ac:dyDescent="0.2">
      <c r="A112" s="4"/>
      <c r="B112" s="6"/>
      <c r="C112" s="6"/>
      <c r="D112" s="6"/>
      <c r="E112" s="6"/>
      <c r="F112" s="4"/>
      <c r="G112" s="7"/>
      <c r="H112" s="6">
        <f t="shared" si="46"/>
        <v>0</v>
      </c>
      <c r="I112" s="8"/>
      <c r="J112" s="8"/>
      <c r="K112" s="8">
        <f t="shared" si="47"/>
        <v>0</v>
      </c>
      <c r="L112" s="8">
        <f t="shared" si="39"/>
        <v>0</v>
      </c>
      <c r="M112" s="8">
        <f>IFERROR((I112+J112)*INDEX([1]Sheet1!$A$1:$A$13,MATCH((I112+J112),[1]Sheet1!$B$1:$B$13)),0)</f>
        <v>0</v>
      </c>
      <c r="N112" s="6">
        <f t="shared" si="48"/>
        <v>0</v>
      </c>
      <c r="O112" s="8"/>
      <c r="P112" s="8">
        <f t="shared" si="49"/>
        <v>0</v>
      </c>
      <c r="Q112" s="8">
        <f t="shared" si="50"/>
        <v>0</v>
      </c>
      <c r="R112" s="8">
        <f t="shared" si="40"/>
        <v>0</v>
      </c>
      <c r="S112" s="8">
        <f>IFERROR((O112+P112)*INDEX([1]Sheet1!$A$1:$A$13,MATCH((O112+P112),[1]Sheet1!$B$1:$B$13)),0)</f>
        <v>0</v>
      </c>
      <c r="T112" s="6">
        <f t="shared" si="51"/>
        <v>0</v>
      </c>
      <c r="U112" s="8"/>
      <c r="V112" s="8">
        <f t="shared" si="52"/>
        <v>0</v>
      </c>
      <c r="W112" s="8">
        <f t="shared" si="53"/>
        <v>0</v>
      </c>
      <c r="X112" s="8">
        <f t="shared" si="41"/>
        <v>0</v>
      </c>
      <c r="Y112" s="8">
        <f>IFERROR((U112+V112)*INDEX([1]Sheet1!$A$1:$A$13,MATCH((U112+V112),[1]Sheet1!$B$1:$B$13)),0)</f>
        <v>0</v>
      </c>
      <c r="Z112" s="6">
        <f t="shared" si="54"/>
        <v>0</v>
      </c>
      <c r="AA112" s="8"/>
      <c r="AB112" s="8">
        <f t="shared" si="55"/>
        <v>0</v>
      </c>
      <c r="AC112" s="8">
        <f t="shared" si="56"/>
        <v>0</v>
      </c>
      <c r="AD112" s="8">
        <f t="shared" si="42"/>
        <v>0</v>
      </c>
      <c r="AE112" s="8">
        <f>IFERROR((AA112+AB112)*INDEX([1]Sheet1!$A$1:$A$13,MATCH((AA112+AB112),[1]Sheet1!$B$1:$B$13)),0)</f>
        <v>0</v>
      </c>
      <c r="AF112" s="6">
        <f t="shared" si="57"/>
        <v>0</v>
      </c>
      <c r="AG112" s="8"/>
      <c r="AH112" s="8">
        <f t="shared" si="58"/>
        <v>0</v>
      </c>
      <c r="AI112" s="8">
        <f t="shared" si="59"/>
        <v>0</v>
      </c>
      <c r="AJ112" s="8">
        <f t="shared" si="43"/>
        <v>0</v>
      </c>
      <c r="AK112" s="8">
        <f>IFERROR((AG112+AH112)*INDEX([1]Sheet1!$A$1:$A$13,MATCH((AG112+AH112),[1]Sheet1!$B$1:$B$13)),0)</f>
        <v>0</v>
      </c>
      <c r="AL112" s="6">
        <f t="shared" si="60"/>
        <v>0</v>
      </c>
      <c r="AM112" s="8"/>
      <c r="AN112" s="8">
        <f t="shared" si="61"/>
        <v>0</v>
      </c>
      <c r="AO112" s="8">
        <f t="shared" si="62"/>
        <v>0</v>
      </c>
      <c r="AP112" s="8">
        <f t="shared" si="44"/>
        <v>0</v>
      </c>
      <c r="AQ112" s="8">
        <f>IFERROR((AM112+AN112)*INDEX([1]Sheet1!$A$1:$A$13,MATCH((AM112+AN112),[1]Sheet1!$B$1:$B$13)),0)</f>
        <v>0</v>
      </c>
      <c r="AR112" s="6">
        <f t="shared" si="63"/>
        <v>0</v>
      </c>
      <c r="AS112" s="8"/>
      <c r="AT112" s="8">
        <f t="shared" si="64"/>
        <v>0</v>
      </c>
      <c r="AU112" s="8">
        <f t="shared" si="65"/>
        <v>0</v>
      </c>
      <c r="AV112" s="8">
        <f t="shared" si="45"/>
        <v>0</v>
      </c>
      <c r="AW112" s="8">
        <f>IFERROR((AS112+AT112)*INDEX([1]Sheet1!$A$1:$A$13,MATCH((AS112+AT112),[1]Sheet1!$B$1:$B$13)),0)</f>
        <v>0</v>
      </c>
      <c r="BC112" s="1" t="str">
        <f t="shared" si="66"/>
        <v/>
      </c>
    </row>
    <row r="113" spans="1:55" ht="18" customHeight="1" x14ac:dyDescent="0.2">
      <c r="A113" s="4"/>
      <c r="B113" s="6"/>
      <c r="C113" s="6"/>
      <c r="D113" s="6"/>
      <c r="E113" s="6"/>
      <c r="F113" s="4"/>
      <c r="G113" s="7"/>
      <c r="H113" s="6">
        <f t="shared" si="46"/>
        <v>0</v>
      </c>
      <c r="I113" s="8"/>
      <c r="J113" s="8"/>
      <c r="K113" s="8">
        <f t="shared" si="47"/>
        <v>0</v>
      </c>
      <c r="L113" s="8">
        <f t="shared" ref="L113:L166" si="67">IF(K113&gt;0,IF(K113*$H$23&lt;2.5,2.5/$H$23,K113),0)</f>
        <v>0</v>
      </c>
      <c r="M113" s="8">
        <f>IFERROR((I113+J113)*INDEX([1]Sheet1!$A$1:$A$13,MATCH((I113+J113),[1]Sheet1!$B$1:$B$13)),0)</f>
        <v>0</v>
      </c>
      <c r="N113" s="6">
        <f t="shared" si="48"/>
        <v>0</v>
      </c>
      <c r="O113" s="8"/>
      <c r="P113" s="8">
        <f t="shared" si="49"/>
        <v>0</v>
      </c>
      <c r="Q113" s="8">
        <f t="shared" si="50"/>
        <v>0</v>
      </c>
      <c r="R113" s="8">
        <f t="shared" ref="R113:R166" si="68">IF(Q113&gt;0,IF(Q113*$N$23&lt;2.5,2.5/$N$23,Q113),0)</f>
        <v>0</v>
      </c>
      <c r="S113" s="8">
        <f>IFERROR((O113+P113)*INDEX([1]Sheet1!$A$1:$A$13,MATCH((O113+P113),[1]Sheet1!$B$1:$B$13)),0)</f>
        <v>0</v>
      </c>
      <c r="T113" s="6">
        <f t="shared" si="51"/>
        <v>0</v>
      </c>
      <c r="U113" s="8"/>
      <c r="V113" s="8">
        <f t="shared" si="52"/>
        <v>0</v>
      </c>
      <c r="W113" s="8">
        <f t="shared" si="53"/>
        <v>0</v>
      </c>
      <c r="X113" s="8">
        <f t="shared" ref="X113:X166" si="69">IF(W113&gt;0,IF(W113*$T$23&lt;2.5,2.5/$T$23,W113),0)</f>
        <v>0</v>
      </c>
      <c r="Y113" s="8">
        <f>IFERROR((U113+V113)*INDEX([1]Sheet1!$A$1:$A$13,MATCH((U113+V113),[1]Sheet1!$B$1:$B$13)),0)</f>
        <v>0</v>
      </c>
      <c r="Z113" s="6">
        <f t="shared" si="54"/>
        <v>0</v>
      </c>
      <c r="AA113" s="8"/>
      <c r="AB113" s="8">
        <f t="shared" si="55"/>
        <v>0</v>
      </c>
      <c r="AC113" s="8">
        <f t="shared" si="56"/>
        <v>0</v>
      </c>
      <c r="AD113" s="8">
        <f t="shared" ref="AD113:AD166" si="70">IF(AC113&gt;0,IF(AC113*$Z$23&lt;2.5,2.5/$Z$23,AC113),0)</f>
        <v>0</v>
      </c>
      <c r="AE113" s="8">
        <f>IFERROR((AA113+AB113)*INDEX([1]Sheet1!$A$1:$A$13,MATCH((AA113+AB113),[1]Sheet1!$B$1:$B$13)),0)</f>
        <v>0</v>
      </c>
      <c r="AF113" s="6">
        <f t="shared" si="57"/>
        <v>0</v>
      </c>
      <c r="AG113" s="8"/>
      <c r="AH113" s="8">
        <f t="shared" si="58"/>
        <v>0</v>
      </c>
      <c r="AI113" s="8">
        <f t="shared" si="59"/>
        <v>0</v>
      </c>
      <c r="AJ113" s="8">
        <f t="shared" ref="AJ113:AJ166" si="71">IF(AI113&gt;0,IF(AI113*$AF$23&lt;2.5,2.5/$AF$23,AI113),0)</f>
        <v>0</v>
      </c>
      <c r="AK113" s="8">
        <f>IFERROR((AG113+AH113)*INDEX([1]Sheet1!$A$1:$A$13,MATCH((AG113+AH113),[1]Sheet1!$B$1:$B$13)),0)</f>
        <v>0</v>
      </c>
      <c r="AL113" s="6">
        <f t="shared" si="60"/>
        <v>0</v>
      </c>
      <c r="AM113" s="8"/>
      <c r="AN113" s="8">
        <f t="shared" si="61"/>
        <v>0</v>
      </c>
      <c r="AO113" s="8">
        <f t="shared" si="62"/>
        <v>0</v>
      </c>
      <c r="AP113" s="8">
        <f t="shared" ref="AP113:AP166" si="72">IF(AO113&gt;0,IF(AO113*$AL$23&lt;2.5,2.5/$AL$23,AO113),0)</f>
        <v>0</v>
      </c>
      <c r="AQ113" s="8">
        <f>IFERROR((AM113+AN113)*INDEX([1]Sheet1!$A$1:$A$13,MATCH((AM113+AN113),[1]Sheet1!$B$1:$B$13)),0)</f>
        <v>0</v>
      </c>
      <c r="AR113" s="6">
        <f t="shared" si="63"/>
        <v>0</v>
      </c>
      <c r="AS113" s="8"/>
      <c r="AT113" s="8">
        <f t="shared" si="64"/>
        <v>0</v>
      </c>
      <c r="AU113" s="8">
        <f t="shared" si="65"/>
        <v>0</v>
      </c>
      <c r="AV113" s="8">
        <f t="shared" ref="AV113:AV166" si="73">IF(AU113&gt;0,IF(AU113*$AR$23&lt;2.5,2.5/$AR$23,AU113),0)</f>
        <v>0</v>
      </c>
      <c r="AW113" s="8">
        <f>IFERROR((AS113+AT113)*INDEX([1]Sheet1!$A$1:$A$13,MATCH((AS113+AT113),[1]Sheet1!$B$1:$B$13)),0)</f>
        <v>0</v>
      </c>
      <c r="BC113" s="1" t="str">
        <f t="shared" si="66"/>
        <v/>
      </c>
    </row>
    <row r="114" spans="1:55" ht="18" customHeight="1" x14ac:dyDescent="0.2">
      <c r="A114" s="4"/>
      <c r="B114" s="5"/>
      <c r="C114" s="6"/>
      <c r="D114" s="6"/>
      <c r="E114" s="6"/>
      <c r="F114" s="4"/>
      <c r="G114" s="7"/>
      <c r="H114" s="6">
        <f t="shared" si="46"/>
        <v>0</v>
      </c>
      <c r="I114" s="8"/>
      <c r="J114" s="8"/>
      <c r="K114" s="8">
        <f t="shared" si="47"/>
        <v>0</v>
      </c>
      <c r="L114" s="8">
        <f t="shared" si="67"/>
        <v>0</v>
      </c>
      <c r="M114" s="8">
        <f>IFERROR((I114+J114)*INDEX([1]Sheet1!$A$1:$A$13,MATCH((I114+J114),[1]Sheet1!$B$1:$B$13)),0)</f>
        <v>0</v>
      </c>
      <c r="N114" s="6">
        <f t="shared" si="48"/>
        <v>0</v>
      </c>
      <c r="O114" s="8"/>
      <c r="P114" s="8">
        <f t="shared" si="49"/>
        <v>0</v>
      </c>
      <c r="Q114" s="8">
        <f t="shared" si="50"/>
        <v>0</v>
      </c>
      <c r="R114" s="8">
        <f t="shared" si="68"/>
        <v>0</v>
      </c>
      <c r="S114" s="8">
        <f>IFERROR((O114+P114)*INDEX([1]Sheet1!$A$1:$A$13,MATCH((O114+P114),[1]Sheet1!$B$1:$B$13)),0)</f>
        <v>0</v>
      </c>
      <c r="T114" s="6">
        <f t="shared" si="51"/>
        <v>0</v>
      </c>
      <c r="U114" s="8"/>
      <c r="V114" s="8">
        <f t="shared" si="52"/>
        <v>0</v>
      </c>
      <c r="W114" s="8">
        <f t="shared" si="53"/>
        <v>0</v>
      </c>
      <c r="X114" s="8">
        <f t="shared" si="69"/>
        <v>0</v>
      </c>
      <c r="Y114" s="8">
        <f>IFERROR((U114+V114)*INDEX([1]Sheet1!$A$1:$A$13,MATCH((U114+V114),[1]Sheet1!$B$1:$B$13)),0)</f>
        <v>0</v>
      </c>
      <c r="Z114" s="6">
        <f t="shared" si="54"/>
        <v>0</v>
      </c>
      <c r="AA114" s="8"/>
      <c r="AB114" s="8">
        <f t="shared" si="55"/>
        <v>0</v>
      </c>
      <c r="AC114" s="8">
        <f t="shared" si="56"/>
        <v>0</v>
      </c>
      <c r="AD114" s="8">
        <f t="shared" si="70"/>
        <v>0</v>
      </c>
      <c r="AE114" s="8">
        <f>IFERROR((AA114+AB114)*INDEX([1]Sheet1!$A$1:$A$13,MATCH((AA114+AB114),[1]Sheet1!$B$1:$B$13)),0)</f>
        <v>0</v>
      </c>
      <c r="AF114" s="6">
        <f t="shared" si="57"/>
        <v>0</v>
      </c>
      <c r="AG114" s="8"/>
      <c r="AH114" s="8">
        <f t="shared" si="58"/>
        <v>0</v>
      </c>
      <c r="AI114" s="8">
        <f t="shared" si="59"/>
        <v>0</v>
      </c>
      <c r="AJ114" s="8">
        <f t="shared" si="71"/>
        <v>0</v>
      </c>
      <c r="AK114" s="8">
        <f>IFERROR((AG114+AH114)*INDEX([1]Sheet1!$A$1:$A$13,MATCH((AG114+AH114),[1]Sheet1!$B$1:$B$13)),0)</f>
        <v>0</v>
      </c>
      <c r="AL114" s="6">
        <f t="shared" si="60"/>
        <v>0</v>
      </c>
      <c r="AM114" s="8"/>
      <c r="AN114" s="8">
        <f t="shared" si="61"/>
        <v>0</v>
      </c>
      <c r="AO114" s="8">
        <f t="shared" si="62"/>
        <v>0</v>
      </c>
      <c r="AP114" s="8">
        <f t="shared" si="72"/>
        <v>0</v>
      </c>
      <c r="AQ114" s="8">
        <f>IFERROR((AM114+AN114)*INDEX([1]Sheet1!$A$1:$A$13,MATCH((AM114+AN114),[1]Sheet1!$B$1:$B$13)),0)</f>
        <v>0</v>
      </c>
      <c r="AR114" s="6">
        <f t="shared" si="63"/>
        <v>0</v>
      </c>
      <c r="AS114" s="8"/>
      <c r="AT114" s="8">
        <f t="shared" si="64"/>
        <v>0</v>
      </c>
      <c r="AU114" s="8">
        <f t="shared" si="65"/>
        <v>0</v>
      </c>
      <c r="AV114" s="8">
        <f t="shared" si="73"/>
        <v>0</v>
      </c>
      <c r="AW114" s="8">
        <f>IFERROR((AS114+AT114)*INDEX([1]Sheet1!$A$1:$A$13,MATCH((AS114+AT114),[1]Sheet1!$B$1:$B$13)),0)</f>
        <v>0</v>
      </c>
      <c r="BC114" s="1" t="str">
        <f t="shared" si="66"/>
        <v/>
      </c>
    </row>
    <row r="115" spans="1:55" ht="18" customHeight="1" x14ac:dyDescent="0.2">
      <c r="A115" s="4"/>
      <c r="B115" s="5"/>
      <c r="C115" s="6"/>
      <c r="D115" s="6"/>
      <c r="E115" s="6"/>
      <c r="F115" s="4"/>
      <c r="G115" s="7"/>
      <c r="H115" s="6">
        <f t="shared" si="46"/>
        <v>0</v>
      </c>
      <c r="I115" s="8"/>
      <c r="J115" s="8"/>
      <c r="K115" s="8">
        <f t="shared" si="47"/>
        <v>0</v>
      </c>
      <c r="L115" s="8">
        <f t="shared" si="67"/>
        <v>0</v>
      </c>
      <c r="M115" s="8">
        <f>IFERROR((I115+J115)*INDEX([1]Sheet1!$A$1:$A$13,MATCH((I115+J115),[1]Sheet1!$B$1:$B$13)),0)</f>
        <v>0</v>
      </c>
      <c r="N115" s="6">
        <f t="shared" si="48"/>
        <v>0</v>
      </c>
      <c r="O115" s="8"/>
      <c r="P115" s="8">
        <f t="shared" si="49"/>
        <v>0</v>
      </c>
      <c r="Q115" s="8">
        <f t="shared" si="50"/>
        <v>0</v>
      </c>
      <c r="R115" s="8">
        <f t="shared" si="68"/>
        <v>0</v>
      </c>
      <c r="S115" s="8">
        <f>IFERROR((O115+P115)*INDEX([1]Sheet1!$A$1:$A$13,MATCH((O115+P115),[1]Sheet1!$B$1:$B$13)),0)</f>
        <v>0</v>
      </c>
      <c r="T115" s="6">
        <f t="shared" si="51"/>
        <v>0</v>
      </c>
      <c r="U115" s="8"/>
      <c r="V115" s="8">
        <f t="shared" si="52"/>
        <v>0</v>
      </c>
      <c r="W115" s="8">
        <f t="shared" si="53"/>
        <v>0</v>
      </c>
      <c r="X115" s="8">
        <f t="shared" si="69"/>
        <v>0</v>
      </c>
      <c r="Y115" s="8">
        <f>IFERROR((U115+V115)*INDEX([1]Sheet1!$A$1:$A$13,MATCH((U115+V115),[1]Sheet1!$B$1:$B$13)),0)</f>
        <v>0</v>
      </c>
      <c r="Z115" s="6">
        <f t="shared" si="54"/>
        <v>0</v>
      </c>
      <c r="AA115" s="8"/>
      <c r="AB115" s="8">
        <f t="shared" si="55"/>
        <v>0</v>
      </c>
      <c r="AC115" s="8">
        <f t="shared" si="56"/>
        <v>0</v>
      </c>
      <c r="AD115" s="8">
        <f t="shared" si="70"/>
        <v>0</v>
      </c>
      <c r="AE115" s="8">
        <f>IFERROR((AA115+AB115)*INDEX([1]Sheet1!$A$1:$A$13,MATCH((AA115+AB115),[1]Sheet1!$B$1:$B$13)),0)</f>
        <v>0</v>
      </c>
      <c r="AF115" s="6">
        <f t="shared" si="57"/>
        <v>0</v>
      </c>
      <c r="AG115" s="8"/>
      <c r="AH115" s="8">
        <f t="shared" si="58"/>
        <v>0</v>
      </c>
      <c r="AI115" s="8">
        <f t="shared" si="59"/>
        <v>0</v>
      </c>
      <c r="AJ115" s="8">
        <f t="shared" si="71"/>
        <v>0</v>
      </c>
      <c r="AK115" s="8">
        <f>IFERROR((AG115+AH115)*INDEX([1]Sheet1!$A$1:$A$13,MATCH((AG115+AH115),[1]Sheet1!$B$1:$B$13)),0)</f>
        <v>0</v>
      </c>
      <c r="AL115" s="6">
        <f t="shared" si="60"/>
        <v>0</v>
      </c>
      <c r="AM115" s="8"/>
      <c r="AN115" s="8">
        <f t="shared" si="61"/>
        <v>0</v>
      </c>
      <c r="AO115" s="8">
        <f t="shared" si="62"/>
        <v>0</v>
      </c>
      <c r="AP115" s="8">
        <f t="shared" si="72"/>
        <v>0</v>
      </c>
      <c r="AQ115" s="8">
        <f>IFERROR((AM115+AN115)*INDEX([1]Sheet1!$A$1:$A$13,MATCH((AM115+AN115),[1]Sheet1!$B$1:$B$13)),0)</f>
        <v>0</v>
      </c>
      <c r="AR115" s="6">
        <f t="shared" si="63"/>
        <v>0</v>
      </c>
      <c r="AS115" s="8"/>
      <c r="AT115" s="8">
        <f t="shared" si="64"/>
        <v>0</v>
      </c>
      <c r="AU115" s="8">
        <f t="shared" si="65"/>
        <v>0</v>
      </c>
      <c r="AV115" s="8">
        <f t="shared" si="73"/>
        <v>0</v>
      </c>
      <c r="AW115" s="8">
        <f>IFERROR((AS115+AT115)*INDEX([1]Sheet1!$A$1:$A$13,MATCH((AS115+AT115),[1]Sheet1!$B$1:$B$13)),0)</f>
        <v>0</v>
      </c>
      <c r="BC115" s="1" t="str">
        <f t="shared" si="66"/>
        <v/>
      </c>
    </row>
    <row r="116" spans="1:55" ht="18" customHeight="1" x14ac:dyDescent="0.2">
      <c r="A116" s="4"/>
      <c r="B116" s="5"/>
      <c r="C116" s="6"/>
      <c r="D116" s="6"/>
      <c r="E116" s="6"/>
      <c r="F116" s="4"/>
      <c r="G116" s="7"/>
      <c r="H116" s="6">
        <f t="shared" si="46"/>
        <v>0</v>
      </c>
      <c r="I116" s="8"/>
      <c r="J116" s="8"/>
      <c r="K116" s="8">
        <f t="shared" si="47"/>
        <v>0</v>
      </c>
      <c r="L116" s="8">
        <f t="shared" si="67"/>
        <v>0</v>
      </c>
      <c r="M116" s="8">
        <f>IFERROR((I116+J116)*INDEX([1]Sheet1!$A$1:$A$13,MATCH((I116+J116),[1]Sheet1!$B$1:$B$13)),0)</f>
        <v>0</v>
      </c>
      <c r="N116" s="6">
        <f t="shared" si="48"/>
        <v>0</v>
      </c>
      <c r="O116" s="8"/>
      <c r="P116" s="8">
        <f t="shared" si="49"/>
        <v>0</v>
      </c>
      <c r="Q116" s="8">
        <f t="shared" si="50"/>
        <v>0</v>
      </c>
      <c r="R116" s="8">
        <f t="shared" si="68"/>
        <v>0</v>
      </c>
      <c r="S116" s="8">
        <f>IFERROR((O116+P116)*INDEX([1]Sheet1!$A$1:$A$13,MATCH((O116+P116),[1]Sheet1!$B$1:$B$13)),0)</f>
        <v>0</v>
      </c>
      <c r="T116" s="6">
        <f t="shared" si="51"/>
        <v>0</v>
      </c>
      <c r="U116" s="8"/>
      <c r="V116" s="8">
        <f t="shared" si="52"/>
        <v>0</v>
      </c>
      <c r="W116" s="8">
        <f t="shared" si="53"/>
        <v>0</v>
      </c>
      <c r="X116" s="8">
        <f t="shared" si="69"/>
        <v>0</v>
      </c>
      <c r="Y116" s="8">
        <f>IFERROR((U116+V116)*INDEX([1]Sheet1!$A$1:$A$13,MATCH((U116+V116),[1]Sheet1!$B$1:$B$13)),0)</f>
        <v>0</v>
      </c>
      <c r="Z116" s="6">
        <f t="shared" si="54"/>
        <v>0</v>
      </c>
      <c r="AA116" s="8"/>
      <c r="AB116" s="8">
        <f t="shared" si="55"/>
        <v>0</v>
      </c>
      <c r="AC116" s="8">
        <f t="shared" si="56"/>
        <v>0</v>
      </c>
      <c r="AD116" s="8">
        <f t="shared" si="70"/>
        <v>0</v>
      </c>
      <c r="AE116" s="8">
        <f>IFERROR((AA116+AB116)*INDEX([1]Sheet1!$A$1:$A$13,MATCH((AA116+AB116),[1]Sheet1!$B$1:$B$13)),0)</f>
        <v>0</v>
      </c>
      <c r="AF116" s="6">
        <f t="shared" si="57"/>
        <v>0</v>
      </c>
      <c r="AG116" s="8"/>
      <c r="AH116" s="8">
        <f t="shared" si="58"/>
        <v>0</v>
      </c>
      <c r="AI116" s="8">
        <f t="shared" si="59"/>
        <v>0</v>
      </c>
      <c r="AJ116" s="8">
        <f t="shared" si="71"/>
        <v>0</v>
      </c>
      <c r="AK116" s="8">
        <f>IFERROR((AG116+AH116)*INDEX([1]Sheet1!$A$1:$A$13,MATCH((AG116+AH116),[1]Sheet1!$B$1:$B$13)),0)</f>
        <v>0</v>
      </c>
      <c r="AL116" s="6">
        <f t="shared" si="60"/>
        <v>0</v>
      </c>
      <c r="AM116" s="8"/>
      <c r="AN116" s="8">
        <f t="shared" si="61"/>
        <v>0</v>
      </c>
      <c r="AO116" s="8">
        <f t="shared" si="62"/>
        <v>0</v>
      </c>
      <c r="AP116" s="8">
        <f t="shared" si="72"/>
        <v>0</v>
      </c>
      <c r="AQ116" s="8">
        <f>IFERROR((AM116+AN116)*INDEX([1]Sheet1!$A$1:$A$13,MATCH((AM116+AN116),[1]Sheet1!$B$1:$B$13)),0)</f>
        <v>0</v>
      </c>
      <c r="AR116" s="6">
        <f t="shared" si="63"/>
        <v>0</v>
      </c>
      <c r="AS116" s="8"/>
      <c r="AT116" s="8">
        <f t="shared" si="64"/>
        <v>0</v>
      </c>
      <c r="AU116" s="8">
        <f t="shared" si="65"/>
        <v>0</v>
      </c>
      <c r="AV116" s="8">
        <f t="shared" si="73"/>
        <v>0</v>
      </c>
      <c r="AW116" s="8">
        <f>IFERROR((AS116+AT116)*INDEX([1]Sheet1!$A$1:$A$13,MATCH((AS116+AT116),[1]Sheet1!$B$1:$B$13)),0)</f>
        <v>0</v>
      </c>
      <c r="BC116" s="1" t="str">
        <f t="shared" si="66"/>
        <v/>
      </c>
    </row>
    <row r="117" spans="1:55" ht="18" customHeight="1" x14ac:dyDescent="0.2">
      <c r="A117" s="4"/>
      <c r="B117" s="5"/>
      <c r="C117" s="6"/>
      <c r="D117" s="6"/>
      <c r="E117" s="6"/>
      <c r="F117" s="4"/>
      <c r="G117" s="7"/>
      <c r="H117" s="6">
        <f t="shared" si="46"/>
        <v>0</v>
      </c>
      <c r="I117" s="8"/>
      <c r="J117" s="8"/>
      <c r="K117" s="8">
        <f t="shared" si="47"/>
        <v>0</v>
      </c>
      <c r="L117" s="8">
        <f t="shared" si="67"/>
        <v>0</v>
      </c>
      <c r="M117" s="8">
        <f>IFERROR((I117+J117)*INDEX([1]Sheet1!$A$1:$A$13,MATCH((I117+J117),[1]Sheet1!$B$1:$B$13)),0)</f>
        <v>0</v>
      </c>
      <c r="N117" s="6">
        <f t="shared" si="48"/>
        <v>0</v>
      </c>
      <c r="O117" s="8"/>
      <c r="P117" s="8">
        <f t="shared" si="49"/>
        <v>0</v>
      </c>
      <c r="Q117" s="8">
        <f t="shared" si="50"/>
        <v>0</v>
      </c>
      <c r="R117" s="8">
        <f t="shared" si="68"/>
        <v>0</v>
      </c>
      <c r="S117" s="8">
        <f>IFERROR((O117+P117)*INDEX([1]Sheet1!$A$1:$A$13,MATCH((O117+P117),[1]Sheet1!$B$1:$B$13)),0)</f>
        <v>0</v>
      </c>
      <c r="T117" s="6">
        <f t="shared" si="51"/>
        <v>0</v>
      </c>
      <c r="U117" s="8"/>
      <c r="V117" s="8">
        <f t="shared" si="52"/>
        <v>0</v>
      </c>
      <c r="W117" s="8">
        <f t="shared" si="53"/>
        <v>0</v>
      </c>
      <c r="X117" s="8">
        <f t="shared" si="69"/>
        <v>0</v>
      </c>
      <c r="Y117" s="8">
        <f>IFERROR((U117+V117)*INDEX([1]Sheet1!$A$1:$A$13,MATCH((U117+V117),[1]Sheet1!$B$1:$B$13)),0)</f>
        <v>0</v>
      </c>
      <c r="Z117" s="6">
        <f t="shared" si="54"/>
        <v>0</v>
      </c>
      <c r="AA117" s="8"/>
      <c r="AB117" s="8">
        <f t="shared" si="55"/>
        <v>0</v>
      </c>
      <c r="AC117" s="8">
        <f t="shared" si="56"/>
        <v>0</v>
      </c>
      <c r="AD117" s="8">
        <f t="shared" si="70"/>
        <v>0</v>
      </c>
      <c r="AE117" s="8">
        <f>IFERROR((AA117+AB117)*INDEX([1]Sheet1!$A$1:$A$13,MATCH((AA117+AB117),[1]Sheet1!$B$1:$B$13)),0)</f>
        <v>0</v>
      </c>
      <c r="AF117" s="6">
        <f t="shared" si="57"/>
        <v>0</v>
      </c>
      <c r="AG117" s="8"/>
      <c r="AH117" s="8">
        <f t="shared" si="58"/>
        <v>0</v>
      </c>
      <c r="AI117" s="8">
        <f t="shared" si="59"/>
        <v>0</v>
      </c>
      <c r="AJ117" s="8">
        <f t="shared" si="71"/>
        <v>0</v>
      </c>
      <c r="AK117" s="8">
        <f>IFERROR((AG117+AH117)*INDEX([1]Sheet1!$A$1:$A$13,MATCH((AG117+AH117),[1]Sheet1!$B$1:$B$13)),0)</f>
        <v>0</v>
      </c>
      <c r="AL117" s="6">
        <f t="shared" si="60"/>
        <v>0</v>
      </c>
      <c r="AM117" s="8"/>
      <c r="AN117" s="8">
        <f t="shared" si="61"/>
        <v>0</v>
      </c>
      <c r="AO117" s="8">
        <f t="shared" si="62"/>
        <v>0</v>
      </c>
      <c r="AP117" s="8">
        <f t="shared" si="72"/>
        <v>0</v>
      </c>
      <c r="AQ117" s="8">
        <f>IFERROR((AM117+AN117)*INDEX([1]Sheet1!$A$1:$A$13,MATCH((AM117+AN117),[1]Sheet1!$B$1:$B$13)),0)</f>
        <v>0</v>
      </c>
      <c r="AR117" s="6">
        <f t="shared" si="63"/>
        <v>0</v>
      </c>
      <c r="AS117" s="8"/>
      <c r="AT117" s="8">
        <f t="shared" si="64"/>
        <v>0</v>
      </c>
      <c r="AU117" s="8">
        <f t="shared" si="65"/>
        <v>0</v>
      </c>
      <c r="AV117" s="8">
        <f t="shared" si="73"/>
        <v>0</v>
      </c>
      <c r="AW117" s="8">
        <f>IFERROR((AS117+AT117)*INDEX([1]Sheet1!$A$1:$A$13,MATCH((AS117+AT117),[1]Sheet1!$B$1:$B$13)),0)</f>
        <v>0</v>
      </c>
      <c r="BC117" s="1" t="str">
        <f t="shared" si="66"/>
        <v/>
      </c>
    </row>
    <row r="118" spans="1:55" ht="18" customHeight="1" x14ac:dyDescent="0.2">
      <c r="A118" s="4"/>
      <c r="B118" s="5"/>
      <c r="C118" s="6"/>
      <c r="D118" s="6"/>
      <c r="E118" s="6"/>
      <c r="F118" s="4"/>
      <c r="G118" s="7"/>
      <c r="H118" s="6">
        <f t="shared" si="46"/>
        <v>0</v>
      </c>
      <c r="I118" s="8"/>
      <c r="J118" s="8"/>
      <c r="K118" s="8">
        <f t="shared" si="47"/>
        <v>0</v>
      </c>
      <c r="L118" s="8">
        <f t="shared" si="67"/>
        <v>0</v>
      </c>
      <c r="M118" s="8">
        <f>IFERROR((I118+J118)*INDEX([1]Sheet1!$A$1:$A$13,MATCH((I118+J118),[1]Sheet1!$B$1:$B$13)),0)</f>
        <v>0</v>
      </c>
      <c r="N118" s="6">
        <f t="shared" si="48"/>
        <v>0</v>
      </c>
      <c r="O118" s="8"/>
      <c r="P118" s="8">
        <f t="shared" si="49"/>
        <v>0</v>
      </c>
      <c r="Q118" s="8">
        <f t="shared" si="50"/>
        <v>0</v>
      </c>
      <c r="R118" s="8">
        <f t="shared" si="68"/>
        <v>0</v>
      </c>
      <c r="S118" s="8">
        <f>IFERROR((O118+P118)*INDEX([1]Sheet1!$A$1:$A$13,MATCH((O118+P118),[1]Sheet1!$B$1:$B$13)),0)</f>
        <v>0</v>
      </c>
      <c r="T118" s="6">
        <f t="shared" si="51"/>
        <v>0</v>
      </c>
      <c r="U118" s="8"/>
      <c r="V118" s="8">
        <f t="shared" si="52"/>
        <v>0</v>
      </c>
      <c r="W118" s="8">
        <f t="shared" si="53"/>
        <v>0</v>
      </c>
      <c r="X118" s="8">
        <f t="shared" si="69"/>
        <v>0</v>
      </c>
      <c r="Y118" s="8">
        <f>IFERROR((U118+V118)*INDEX([1]Sheet1!$A$1:$A$13,MATCH((U118+V118),[1]Sheet1!$B$1:$B$13)),0)</f>
        <v>0</v>
      </c>
      <c r="Z118" s="6">
        <f t="shared" si="54"/>
        <v>0</v>
      </c>
      <c r="AA118" s="8"/>
      <c r="AB118" s="8">
        <f t="shared" si="55"/>
        <v>0</v>
      </c>
      <c r="AC118" s="8">
        <f t="shared" si="56"/>
        <v>0</v>
      </c>
      <c r="AD118" s="8">
        <f t="shared" si="70"/>
        <v>0</v>
      </c>
      <c r="AE118" s="8">
        <f>IFERROR((AA118+AB118)*INDEX([1]Sheet1!$A$1:$A$13,MATCH((AA118+AB118),[1]Sheet1!$B$1:$B$13)),0)</f>
        <v>0</v>
      </c>
      <c r="AF118" s="6">
        <f t="shared" si="57"/>
        <v>0</v>
      </c>
      <c r="AG118" s="8"/>
      <c r="AH118" s="8">
        <f t="shared" si="58"/>
        <v>0</v>
      </c>
      <c r="AI118" s="8">
        <f t="shared" si="59"/>
        <v>0</v>
      </c>
      <c r="AJ118" s="8">
        <f t="shared" si="71"/>
        <v>0</v>
      </c>
      <c r="AK118" s="8">
        <f>IFERROR((AG118+AH118)*INDEX([1]Sheet1!$A$1:$A$13,MATCH((AG118+AH118),[1]Sheet1!$B$1:$B$13)),0)</f>
        <v>0</v>
      </c>
      <c r="AL118" s="6">
        <f t="shared" si="60"/>
        <v>0</v>
      </c>
      <c r="AM118" s="8"/>
      <c r="AN118" s="8">
        <f t="shared" si="61"/>
        <v>0</v>
      </c>
      <c r="AO118" s="8">
        <f t="shared" si="62"/>
        <v>0</v>
      </c>
      <c r="AP118" s="8">
        <f t="shared" si="72"/>
        <v>0</v>
      </c>
      <c r="AQ118" s="8">
        <f>IFERROR((AM118+AN118)*INDEX([1]Sheet1!$A$1:$A$13,MATCH((AM118+AN118),[1]Sheet1!$B$1:$B$13)),0)</f>
        <v>0</v>
      </c>
      <c r="AR118" s="6">
        <f t="shared" si="63"/>
        <v>0</v>
      </c>
      <c r="AS118" s="8"/>
      <c r="AT118" s="8">
        <f t="shared" si="64"/>
        <v>0</v>
      </c>
      <c r="AU118" s="8">
        <f t="shared" si="65"/>
        <v>0</v>
      </c>
      <c r="AV118" s="8">
        <f t="shared" si="73"/>
        <v>0</v>
      </c>
      <c r="AW118" s="8">
        <f>IFERROR((AS118+AT118)*INDEX([1]Sheet1!$A$1:$A$13,MATCH((AS118+AT118),[1]Sheet1!$B$1:$B$13)),0)</f>
        <v>0</v>
      </c>
      <c r="BC118" s="1" t="str">
        <f t="shared" si="66"/>
        <v/>
      </c>
    </row>
    <row r="119" spans="1:55" ht="18" customHeight="1" x14ac:dyDescent="0.2">
      <c r="A119" s="4"/>
      <c r="B119" s="9"/>
      <c r="C119" s="6"/>
      <c r="D119" s="6"/>
      <c r="E119" s="6"/>
      <c r="F119" s="4"/>
      <c r="G119" s="7"/>
      <c r="H119" s="6">
        <f t="shared" si="46"/>
        <v>0</v>
      </c>
      <c r="I119" s="8"/>
      <c r="J119" s="8"/>
      <c r="K119" s="8">
        <f t="shared" si="47"/>
        <v>0</v>
      </c>
      <c r="L119" s="8">
        <f t="shared" si="67"/>
        <v>0</v>
      </c>
      <c r="M119" s="8">
        <f>IFERROR((I119+J119)*INDEX([1]Sheet1!$A$1:$A$13,MATCH((I119+J119),[1]Sheet1!$B$1:$B$13)),0)</f>
        <v>0</v>
      </c>
      <c r="N119" s="6">
        <f t="shared" si="48"/>
        <v>0</v>
      </c>
      <c r="O119" s="8"/>
      <c r="P119" s="8">
        <f t="shared" si="49"/>
        <v>0</v>
      </c>
      <c r="Q119" s="8">
        <f t="shared" si="50"/>
        <v>0</v>
      </c>
      <c r="R119" s="8">
        <f t="shared" si="68"/>
        <v>0</v>
      </c>
      <c r="S119" s="8">
        <f>IFERROR((O119+P119)*INDEX([1]Sheet1!$A$1:$A$13,MATCH((O119+P119),[1]Sheet1!$B$1:$B$13)),0)</f>
        <v>0</v>
      </c>
      <c r="T119" s="6">
        <f t="shared" si="51"/>
        <v>0</v>
      </c>
      <c r="U119" s="8"/>
      <c r="V119" s="8">
        <f t="shared" si="52"/>
        <v>0</v>
      </c>
      <c r="W119" s="8">
        <f t="shared" si="53"/>
        <v>0</v>
      </c>
      <c r="X119" s="8">
        <f t="shared" si="69"/>
        <v>0</v>
      </c>
      <c r="Y119" s="8">
        <f>IFERROR((U119+V119)*INDEX([1]Sheet1!$A$1:$A$13,MATCH((U119+V119),[1]Sheet1!$B$1:$B$13)),0)</f>
        <v>0</v>
      </c>
      <c r="Z119" s="6">
        <f t="shared" si="54"/>
        <v>0</v>
      </c>
      <c r="AA119" s="8"/>
      <c r="AB119" s="8">
        <f t="shared" si="55"/>
        <v>0</v>
      </c>
      <c r="AC119" s="8">
        <f t="shared" si="56"/>
        <v>0</v>
      </c>
      <c r="AD119" s="8">
        <f t="shared" si="70"/>
        <v>0</v>
      </c>
      <c r="AE119" s="8">
        <f>IFERROR((AA119+AB119)*INDEX([1]Sheet1!$A$1:$A$13,MATCH((AA119+AB119),[1]Sheet1!$B$1:$B$13)),0)</f>
        <v>0</v>
      </c>
      <c r="AF119" s="6">
        <f t="shared" si="57"/>
        <v>0</v>
      </c>
      <c r="AG119" s="8"/>
      <c r="AH119" s="8">
        <f t="shared" si="58"/>
        <v>0</v>
      </c>
      <c r="AI119" s="8">
        <f t="shared" si="59"/>
        <v>0</v>
      </c>
      <c r="AJ119" s="8">
        <f t="shared" si="71"/>
        <v>0</v>
      </c>
      <c r="AK119" s="8">
        <f>IFERROR((AG119+AH119)*INDEX([1]Sheet1!$A$1:$A$13,MATCH((AG119+AH119),[1]Sheet1!$B$1:$B$13)),0)</f>
        <v>0</v>
      </c>
      <c r="AL119" s="6">
        <f t="shared" si="60"/>
        <v>0</v>
      </c>
      <c r="AM119" s="8"/>
      <c r="AN119" s="8">
        <f t="shared" si="61"/>
        <v>0</v>
      </c>
      <c r="AO119" s="8">
        <f t="shared" si="62"/>
        <v>0</v>
      </c>
      <c r="AP119" s="8">
        <f t="shared" si="72"/>
        <v>0</v>
      </c>
      <c r="AQ119" s="8">
        <f>IFERROR((AM119+AN119)*INDEX([1]Sheet1!$A$1:$A$13,MATCH((AM119+AN119),[1]Sheet1!$B$1:$B$13)),0)</f>
        <v>0</v>
      </c>
      <c r="AR119" s="6">
        <f t="shared" si="63"/>
        <v>0</v>
      </c>
      <c r="AS119" s="8"/>
      <c r="AT119" s="8">
        <f t="shared" si="64"/>
        <v>0</v>
      </c>
      <c r="AU119" s="8">
        <f t="shared" si="65"/>
        <v>0</v>
      </c>
      <c r="AV119" s="8">
        <f t="shared" si="73"/>
        <v>0</v>
      </c>
      <c r="AW119" s="8">
        <f>IFERROR((AS119+AT119)*INDEX([1]Sheet1!$A$1:$A$13,MATCH((AS119+AT119),[1]Sheet1!$B$1:$B$13)),0)</f>
        <v>0</v>
      </c>
      <c r="BC119" s="1" t="str">
        <f t="shared" si="66"/>
        <v/>
      </c>
    </row>
    <row r="120" spans="1:55" ht="18" customHeight="1" x14ac:dyDescent="0.2">
      <c r="A120" s="4"/>
      <c r="B120" s="9"/>
      <c r="C120" s="6"/>
      <c r="D120" s="6"/>
      <c r="E120" s="6"/>
      <c r="F120" s="4"/>
      <c r="G120" s="6"/>
      <c r="H120" s="6">
        <f t="shared" si="46"/>
        <v>0</v>
      </c>
      <c r="I120" s="8"/>
      <c r="J120" s="8"/>
      <c r="K120" s="8">
        <f t="shared" si="47"/>
        <v>0</v>
      </c>
      <c r="L120" s="8">
        <f t="shared" si="67"/>
        <v>0</v>
      </c>
      <c r="M120" s="8">
        <f>IFERROR((I120+J120)*INDEX([1]Sheet1!$A$1:$A$13,MATCH((I120+J120),[1]Sheet1!$B$1:$B$13)),0)</f>
        <v>0</v>
      </c>
      <c r="N120" s="6">
        <f t="shared" si="48"/>
        <v>0</v>
      </c>
      <c r="O120" s="8"/>
      <c r="P120" s="8">
        <f t="shared" si="49"/>
        <v>0</v>
      </c>
      <c r="Q120" s="8">
        <f t="shared" si="50"/>
        <v>0</v>
      </c>
      <c r="R120" s="8">
        <f t="shared" si="68"/>
        <v>0</v>
      </c>
      <c r="S120" s="8">
        <f>IFERROR((O120+P120)*INDEX([1]Sheet1!$A$1:$A$13,MATCH((O120+P120),[1]Sheet1!$B$1:$B$13)),0)</f>
        <v>0</v>
      </c>
      <c r="T120" s="6">
        <f t="shared" si="51"/>
        <v>0</v>
      </c>
      <c r="U120" s="8"/>
      <c r="V120" s="8">
        <f t="shared" si="52"/>
        <v>0</v>
      </c>
      <c r="W120" s="8">
        <f t="shared" si="53"/>
        <v>0</v>
      </c>
      <c r="X120" s="8">
        <f t="shared" si="69"/>
        <v>0</v>
      </c>
      <c r="Y120" s="8">
        <f>IFERROR((U120+V120)*INDEX([1]Sheet1!$A$1:$A$13,MATCH((U120+V120),[1]Sheet1!$B$1:$B$13)),0)</f>
        <v>0</v>
      </c>
      <c r="Z120" s="6">
        <f t="shared" si="54"/>
        <v>0</v>
      </c>
      <c r="AA120" s="8"/>
      <c r="AB120" s="8">
        <f t="shared" si="55"/>
        <v>0</v>
      </c>
      <c r="AC120" s="8">
        <f t="shared" si="56"/>
        <v>0</v>
      </c>
      <c r="AD120" s="8">
        <f t="shared" si="70"/>
        <v>0</v>
      </c>
      <c r="AE120" s="8">
        <f>IFERROR((AA120+AB120)*INDEX([1]Sheet1!$A$1:$A$13,MATCH((AA120+AB120),[1]Sheet1!$B$1:$B$13)),0)</f>
        <v>0</v>
      </c>
      <c r="AF120" s="6">
        <f t="shared" si="57"/>
        <v>0</v>
      </c>
      <c r="AG120" s="8"/>
      <c r="AH120" s="8">
        <f t="shared" si="58"/>
        <v>0</v>
      </c>
      <c r="AI120" s="8">
        <f t="shared" si="59"/>
        <v>0</v>
      </c>
      <c r="AJ120" s="8">
        <f t="shared" si="71"/>
        <v>0</v>
      </c>
      <c r="AK120" s="8">
        <f>IFERROR((AG120+AH120)*INDEX([1]Sheet1!$A$1:$A$13,MATCH((AG120+AH120),[1]Sheet1!$B$1:$B$13)),0)</f>
        <v>0</v>
      </c>
      <c r="AL120" s="6">
        <f t="shared" si="60"/>
        <v>0</v>
      </c>
      <c r="AM120" s="8"/>
      <c r="AN120" s="8">
        <f t="shared" si="61"/>
        <v>0</v>
      </c>
      <c r="AO120" s="8">
        <f t="shared" si="62"/>
        <v>0</v>
      </c>
      <c r="AP120" s="8">
        <f t="shared" si="72"/>
        <v>0</v>
      </c>
      <c r="AQ120" s="8">
        <f>IFERROR((AM120+AN120)*INDEX([1]Sheet1!$A$1:$A$13,MATCH((AM120+AN120),[1]Sheet1!$B$1:$B$13)),0)</f>
        <v>0</v>
      </c>
      <c r="AR120" s="6">
        <f t="shared" si="63"/>
        <v>0</v>
      </c>
      <c r="AS120" s="8"/>
      <c r="AT120" s="8">
        <f t="shared" si="64"/>
        <v>0</v>
      </c>
      <c r="AU120" s="8">
        <f t="shared" si="65"/>
        <v>0</v>
      </c>
      <c r="AV120" s="8">
        <f t="shared" si="73"/>
        <v>0</v>
      </c>
      <c r="AW120" s="8">
        <f>IFERROR((AS120+AT120)*INDEX([1]Sheet1!$A$1:$A$13,MATCH((AS120+AT120),[1]Sheet1!$B$1:$B$13)),0)</f>
        <v>0</v>
      </c>
      <c r="BC120" s="1" t="str">
        <f t="shared" si="66"/>
        <v/>
      </c>
    </row>
    <row r="121" spans="1:55" ht="18" customHeight="1" x14ac:dyDescent="0.2">
      <c r="A121" s="4"/>
      <c r="B121" s="5"/>
      <c r="C121" s="6"/>
      <c r="D121" s="6"/>
      <c r="E121" s="6"/>
      <c r="F121" s="4"/>
      <c r="G121" s="6"/>
      <c r="H121" s="6">
        <f t="shared" si="46"/>
        <v>0</v>
      </c>
      <c r="I121" s="8"/>
      <c r="J121" s="8"/>
      <c r="K121" s="8">
        <f t="shared" si="47"/>
        <v>0</v>
      </c>
      <c r="L121" s="8">
        <f t="shared" si="67"/>
        <v>0</v>
      </c>
      <c r="M121" s="8">
        <f>IFERROR((I121+J121)*INDEX([1]Sheet1!$A$1:$A$13,MATCH((I121+J121),[1]Sheet1!$B$1:$B$13)),0)</f>
        <v>0</v>
      </c>
      <c r="N121" s="6">
        <f t="shared" si="48"/>
        <v>0</v>
      </c>
      <c r="O121" s="8"/>
      <c r="P121" s="8">
        <f t="shared" si="49"/>
        <v>0</v>
      </c>
      <c r="Q121" s="8">
        <f t="shared" si="50"/>
        <v>0</v>
      </c>
      <c r="R121" s="8">
        <f t="shared" si="68"/>
        <v>0</v>
      </c>
      <c r="S121" s="8">
        <f>IFERROR((O121+P121)*INDEX([1]Sheet1!$A$1:$A$13,MATCH((O121+P121),[1]Sheet1!$B$1:$B$13)),0)</f>
        <v>0</v>
      </c>
      <c r="T121" s="6">
        <f t="shared" si="51"/>
        <v>0</v>
      </c>
      <c r="U121" s="8"/>
      <c r="V121" s="8">
        <f t="shared" si="52"/>
        <v>0</v>
      </c>
      <c r="W121" s="8">
        <f t="shared" si="53"/>
        <v>0</v>
      </c>
      <c r="X121" s="8">
        <f t="shared" si="69"/>
        <v>0</v>
      </c>
      <c r="Y121" s="8">
        <f>IFERROR((U121+V121)*INDEX([1]Sheet1!$A$1:$A$13,MATCH((U121+V121),[1]Sheet1!$B$1:$B$13)),0)</f>
        <v>0</v>
      </c>
      <c r="Z121" s="6">
        <f t="shared" si="54"/>
        <v>0</v>
      </c>
      <c r="AA121" s="8"/>
      <c r="AB121" s="8">
        <f t="shared" si="55"/>
        <v>0</v>
      </c>
      <c r="AC121" s="8">
        <f t="shared" si="56"/>
        <v>0</v>
      </c>
      <c r="AD121" s="8">
        <f t="shared" si="70"/>
        <v>0</v>
      </c>
      <c r="AE121" s="8">
        <f>IFERROR((AA121+AB121)*INDEX([1]Sheet1!$A$1:$A$13,MATCH((AA121+AB121),[1]Sheet1!$B$1:$B$13)),0)</f>
        <v>0</v>
      </c>
      <c r="AF121" s="6">
        <f t="shared" si="57"/>
        <v>0</v>
      </c>
      <c r="AG121" s="8"/>
      <c r="AH121" s="8">
        <f t="shared" si="58"/>
        <v>0</v>
      </c>
      <c r="AI121" s="8">
        <f t="shared" si="59"/>
        <v>0</v>
      </c>
      <c r="AJ121" s="8">
        <f t="shared" si="71"/>
        <v>0</v>
      </c>
      <c r="AK121" s="8">
        <f>IFERROR((AG121+AH121)*INDEX([1]Sheet1!$A$1:$A$13,MATCH((AG121+AH121),[1]Sheet1!$B$1:$B$13)),0)</f>
        <v>0</v>
      </c>
      <c r="AL121" s="6">
        <f t="shared" si="60"/>
        <v>0</v>
      </c>
      <c r="AM121" s="8"/>
      <c r="AN121" s="8">
        <f t="shared" si="61"/>
        <v>0</v>
      </c>
      <c r="AO121" s="8">
        <f t="shared" si="62"/>
        <v>0</v>
      </c>
      <c r="AP121" s="8">
        <f t="shared" si="72"/>
        <v>0</v>
      </c>
      <c r="AQ121" s="8">
        <f>IFERROR((AM121+AN121)*INDEX([1]Sheet1!$A$1:$A$13,MATCH((AM121+AN121),[1]Sheet1!$B$1:$B$13)),0)</f>
        <v>0</v>
      </c>
      <c r="AR121" s="6">
        <f t="shared" si="63"/>
        <v>0</v>
      </c>
      <c r="AS121" s="8"/>
      <c r="AT121" s="8">
        <f t="shared" si="64"/>
        <v>0</v>
      </c>
      <c r="AU121" s="8">
        <f t="shared" si="65"/>
        <v>0</v>
      </c>
      <c r="AV121" s="8">
        <f t="shared" si="73"/>
        <v>0</v>
      </c>
      <c r="AW121" s="8">
        <f>IFERROR((AS121+AT121)*INDEX([1]Sheet1!$A$1:$A$13,MATCH((AS121+AT121),[1]Sheet1!$B$1:$B$13)),0)</f>
        <v>0</v>
      </c>
      <c r="BC121" s="1" t="str">
        <f t="shared" si="66"/>
        <v/>
      </c>
    </row>
    <row r="122" spans="1:55" ht="18" customHeight="1" x14ac:dyDescent="0.2">
      <c r="A122" s="4"/>
      <c r="B122" s="5"/>
      <c r="C122" s="6"/>
      <c r="D122" s="6"/>
      <c r="E122" s="6"/>
      <c r="F122" s="4"/>
      <c r="G122" s="6"/>
      <c r="H122" s="6">
        <f t="shared" si="46"/>
        <v>0</v>
      </c>
      <c r="I122" s="8"/>
      <c r="J122" s="8"/>
      <c r="K122" s="8">
        <f t="shared" si="47"/>
        <v>0</v>
      </c>
      <c r="L122" s="8">
        <f t="shared" si="67"/>
        <v>0</v>
      </c>
      <c r="M122" s="8">
        <f>IFERROR((I122+J122)*INDEX([1]Sheet1!$A$1:$A$13,MATCH((I122+J122),[1]Sheet1!$B$1:$B$13)),0)</f>
        <v>0</v>
      </c>
      <c r="N122" s="6">
        <f t="shared" si="48"/>
        <v>0</v>
      </c>
      <c r="O122" s="8"/>
      <c r="P122" s="8">
        <f t="shared" si="49"/>
        <v>0</v>
      </c>
      <c r="Q122" s="8">
        <f t="shared" si="50"/>
        <v>0</v>
      </c>
      <c r="R122" s="8">
        <f t="shared" si="68"/>
        <v>0</v>
      </c>
      <c r="S122" s="8">
        <f>IFERROR((O122+P122)*INDEX([1]Sheet1!$A$1:$A$13,MATCH((O122+P122),[1]Sheet1!$B$1:$B$13)),0)</f>
        <v>0</v>
      </c>
      <c r="T122" s="6">
        <f t="shared" si="51"/>
        <v>0</v>
      </c>
      <c r="U122" s="8"/>
      <c r="V122" s="8">
        <f t="shared" si="52"/>
        <v>0</v>
      </c>
      <c r="W122" s="8">
        <f t="shared" si="53"/>
        <v>0</v>
      </c>
      <c r="X122" s="8">
        <f t="shared" si="69"/>
        <v>0</v>
      </c>
      <c r="Y122" s="8">
        <f>IFERROR((U122+V122)*INDEX([1]Sheet1!$A$1:$A$13,MATCH((U122+V122),[1]Sheet1!$B$1:$B$13)),0)</f>
        <v>0</v>
      </c>
      <c r="Z122" s="6">
        <f t="shared" si="54"/>
        <v>0</v>
      </c>
      <c r="AA122" s="8"/>
      <c r="AB122" s="8">
        <f t="shared" si="55"/>
        <v>0</v>
      </c>
      <c r="AC122" s="8">
        <f t="shared" si="56"/>
        <v>0</v>
      </c>
      <c r="AD122" s="8">
        <f t="shared" si="70"/>
        <v>0</v>
      </c>
      <c r="AE122" s="8">
        <f>IFERROR((AA122+AB122)*INDEX([1]Sheet1!$A$1:$A$13,MATCH((AA122+AB122),[1]Sheet1!$B$1:$B$13)),0)</f>
        <v>0</v>
      </c>
      <c r="AF122" s="6">
        <f t="shared" si="57"/>
        <v>0</v>
      </c>
      <c r="AG122" s="8"/>
      <c r="AH122" s="8">
        <f t="shared" si="58"/>
        <v>0</v>
      </c>
      <c r="AI122" s="8">
        <f t="shared" si="59"/>
        <v>0</v>
      </c>
      <c r="AJ122" s="8">
        <f t="shared" si="71"/>
        <v>0</v>
      </c>
      <c r="AK122" s="8">
        <f>IFERROR((AG122+AH122)*INDEX([1]Sheet1!$A$1:$A$13,MATCH((AG122+AH122),[1]Sheet1!$B$1:$B$13)),0)</f>
        <v>0</v>
      </c>
      <c r="AL122" s="6">
        <f t="shared" si="60"/>
        <v>0</v>
      </c>
      <c r="AM122" s="8"/>
      <c r="AN122" s="8">
        <f t="shared" si="61"/>
        <v>0</v>
      </c>
      <c r="AO122" s="8">
        <f t="shared" si="62"/>
        <v>0</v>
      </c>
      <c r="AP122" s="8">
        <f t="shared" si="72"/>
        <v>0</v>
      </c>
      <c r="AQ122" s="8">
        <f>IFERROR((AM122+AN122)*INDEX([1]Sheet1!$A$1:$A$13,MATCH((AM122+AN122),[1]Sheet1!$B$1:$B$13)),0)</f>
        <v>0</v>
      </c>
      <c r="AR122" s="6">
        <f t="shared" si="63"/>
        <v>0</v>
      </c>
      <c r="AS122" s="8"/>
      <c r="AT122" s="8">
        <f t="shared" si="64"/>
        <v>0</v>
      </c>
      <c r="AU122" s="8">
        <f t="shared" si="65"/>
        <v>0</v>
      </c>
      <c r="AV122" s="8">
        <f t="shared" si="73"/>
        <v>0</v>
      </c>
      <c r="AW122" s="8">
        <f>IFERROR((AS122+AT122)*INDEX([1]Sheet1!$A$1:$A$13,MATCH((AS122+AT122),[1]Sheet1!$B$1:$B$13)),0)</f>
        <v>0</v>
      </c>
      <c r="BC122" s="1" t="str">
        <f t="shared" si="66"/>
        <v/>
      </c>
    </row>
    <row r="123" spans="1:55" ht="18" customHeight="1" x14ac:dyDescent="0.2">
      <c r="A123" s="4"/>
      <c r="B123" s="5"/>
      <c r="C123" s="6"/>
      <c r="D123" s="6"/>
      <c r="E123" s="6"/>
      <c r="F123" s="4"/>
      <c r="G123" s="6"/>
      <c r="H123" s="6">
        <f t="shared" si="46"/>
        <v>0</v>
      </c>
      <c r="I123" s="8"/>
      <c r="J123" s="8"/>
      <c r="K123" s="8">
        <f t="shared" si="47"/>
        <v>0</v>
      </c>
      <c r="L123" s="8">
        <f t="shared" si="67"/>
        <v>0</v>
      </c>
      <c r="M123" s="8">
        <f>IFERROR((I123+J123)*INDEX([1]Sheet1!$A$1:$A$13,MATCH((I123+J123),[1]Sheet1!$B$1:$B$13)),0)</f>
        <v>0</v>
      </c>
      <c r="N123" s="6">
        <f t="shared" si="48"/>
        <v>0</v>
      </c>
      <c r="O123" s="8"/>
      <c r="P123" s="8">
        <f t="shared" si="49"/>
        <v>0</v>
      </c>
      <c r="Q123" s="8">
        <f t="shared" si="50"/>
        <v>0</v>
      </c>
      <c r="R123" s="8">
        <f t="shared" si="68"/>
        <v>0</v>
      </c>
      <c r="S123" s="8">
        <f>IFERROR((O123+P123)*INDEX([1]Sheet1!$A$1:$A$13,MATCH((O123+P123),[1]Sheet1!$B$1:$B$13)),0)</f>
        <v>0</v>
      </c>
      <c r="T123" s="6">
        <f t="shared" si="51"/>
        <v>0</v>
      </c>
      <c r="U123" s="8"/>
      <c r="V123" s="8">
        <f t="shared" si="52"/>
        <v>0</v>
      </c>
      <c r="W123" s="8">
        <f t="shared" si="53"/>
        <v>0</v>
      </c>
      <c r="X123" s="8">
        <f t="shared" si="69"/>
        <v>0</v>
      </c>
      <c r="Y123" s="8">
        <f>IFERROR((U123+V123)*INDEX([1]Sheet1!$A$1:$A$13,MATCH((U123+V123),[1]Sheet1!$B$1:$B$13)),0)</f>
        <v>0</v>
      </c>
      <c r="Z123" s="6">
        <f t="shared" si="54"/>
        <v>0</v>
      </c>
      <c r="AA123" s="8"/>
      <c r="AB123" s="8">
        <f t="shared" si="55"/>
        <v>0</v>
      </c>
      <c r="AC123" s="8">
        <f t="shared" si="56"/>
        <v>0</v>
      </c>
      <c r="AD123" s="8">
        <f t="shared" si="70"/>
        <v>0</v>
      </c>
      <c r="AE123" s="8">
        <f>IFERROR((AA123+AB123)*INDEX([1]Sheet1!$A$1:$A$13,MATCH((AA123+AB123),[1]Sheet1!$B$1:$B$13)),0)</f>
        <v>0</v>
      </c>
      <c r="AF123" s="6">
        <f t="shared" si="57"/>
        <v>0</v>
      </c>
      <c r="AG123" s="8"/>
      <c r="AH123" s="8">
        <f t="shared" si="58"/>
        <v>0</v>
      </c>
      <c r="AI123" s="8">
        <f t="shared" si="59"/>
        <v>0</v>
      </c>
      <c r="AJ123" s="8">
        <f t="shared" si="71"/>
        <v>0</v>
      </c>
      <c r="AK123" s="8">
        <f>IFERROR((AG123+AH123)*INDEX([1]Sheet1!$A$1:$A$13,MATCH((AG123+AH123),[1]Sheet1!$B$1:$B$13)),0)</f>
        <v>0</v>
      </c>
      <c r="AL123" s="6">
        <f t="shared" si="60"/>
        <v>0</v>
      </c>
      <c r="AM123" s="8"/>
      <c r="AN123" s="8">
        <f t="shared" si="61"/>
        <v>0</v>
      </c>
      <c r="AO123" s="8">
        <f t="shared" si="62"/>
        <v>0</v>
      </c>
      <c r="AP123" s="8">
        <f t="shared" si="72"/>
        <v>0</v>
      </c>
      <c r="AQ123" s="8">
        <f>IFERROR((AM123+AN123)*INDEX([1]Sheet1!$A$1:$A$13,MATCH((AM123+AN123),[1]Sheet1!$B$1:$B$13)),0)</f>
        <v>0</v>
      </c>
      <c r="AR123" s="6">
        <f t="shared" si="63"/>
        <v>0</v>
      </c>
      <c r="AS123" s="8"/>
      <c r="AT123" s="8">
        <f t="shared" si="64"/>
        <v>0</v>
      </c>
      <c r="AU123" s="8">
        <f t="shared" si="65"/>
        <v>0</v>
      </c>
      <c r="AV123" s="8">
        <f t="shared" si="73"/>
        <v>0</v>
      </c>
      <c r="AW123" s="8">
        <f>IFERROR((AS123+AT123)*INDEX([1]Sheet1!$A$1:$A$13,MATCH((AS123+AT123),[1]Sheet1!$B$1:$B$13)),0)</f>
        <v>0</v>
      </c>
      <c r="BC123" s="1" t="str">
        <f t="shared" si="66"/>
        <v/>
      </c>
    </row>
    <row r="124" spans="1:55" ht="18" customHeight="1" x14ac:dyDescent="0.2">
      <c r="A124" s="4"/>
      <c r="B124" s="5"/>
      <c r="C124" s="6"/>
      <c r="D124" s="6"/>
      <c r="E124" s="6"/>
      <c r="F124" s="4"/>
      <c r="G124" s="6"/>
      <c r="H124" s="6">
        <f t="shared" si="46"/>
        <v>0</v>
      </c>
      <c r="I124" s="8"/>
      <c r="J124" s="8"/>
      <c r="K124" s="8">
        <f t="shared" si="47"/>
        <v>0</v>
      </c>
      <c r="L124" s="8">
        <f t="shared" si="67"/>
        <v>0</v>
      </c>
      <c r="M124" s="8">
        <f>IFERROR((I124+J124)*INDEX([1]Sheet1!$A$1:$A$13,MATCH((I124+J124),[1]Sheet1!$B$1:$B$13)),0)</f>
        <v>0</v>
      </c>
      <c r="N124" s="6">
        <f t="shared" si="48"/>
        <v>0</v>
      </c>
      <c r="O124" s="8"/>
      <c r="P124" s="8">
        <f t="shared" si="49"/>
        <v>0</v>
      </c>
      <c r="Q124" s="8">
        <f t="shared" si="50"/>
        <v>0</v>
      </c>
      <c r="R124" s="8">
        <f t="shared" si="68"/>
        <v>0</v>
      </c>
      <c r="S124" s="8">
        <f>IFERROR((O124+P124)*INDEX([1]Sheet1!$A$1:$A$13,MATCH((O124+P124),[1]Sheet1!$B$1:$B$13)),0)</f>
        <v>0</v>
      </c>
      <c r="T124" s="6">
        <f t="shared" si="51"/>
        <v>0</v>
      </c>
      <c r="U124" s="8"/>
      <c r="V124" s="8">
        <f t="shared" si="52"/>
        <v>0</v>
      </c>
      <c r="W124" s="8">
        <f t="shared" si="53"/>
        <v>0</v>
      </c>
      <c r="X124" s="8">
        <f t="shared" si="69"/>
        <v>0</v>
      </c>
      <c r="Y124" s="8">
        <f>IFERROR((U124+V124)*INDEX([1]Sheet1!$A$1:$A$13,MATCH((U124+V124),[1]Sheet1!$B$1:$B$13)),0)</f>
        <v>0</v>
      </c>
      <c r="Z124" s="6">
        <f t="shared" si="54"/>
        <v>0</v>
      </c>
      <c r="AA124" s="8"/>
      <c r="AB124" s="8">
        <f t="shared" si="55"/>
        <v>0</v>
      </c>
      <c r="AC124" s="8">
        <f t="shared" si="56"/>
        <v>0</v>
      </c>
      <c r="AD124" s="8">
        <f t="shared" si="70"/>
        <v>0</v>
      </c>
      <c r="AE124" s="8">
        <f>IFERROR((AA124+AB124)*INDEX([1]Sheet1!$A$1:$A$13,MATCH((AA124+AB124),[1]Sheet1!$B$1:$B$13)),0)</f>
        <v>0</v>
      </c>
      <c r="AF124" s="6">
        <f t="shared" si="57"/>
        <v>0</v>
      </c>
      <c r="AG124" s="8"/>
      <c r="AH124" s="8">
        <f t="shared" si="58"/>
        <v>0</v>
      </c>
      <c r="AI124" s="8">
        <f t="shared" si="59"/>
        <v>0</v>
      </c>
      <c r="AJ124" s="8">
        <f t="shared" si="71"/>
        <v>0</v>
      </c>
      <c r="AK124" s="8">
        <f>IFERROR((AG124+AH124)*INDEX([1]Sheet1!$A$1:$A$13,MATCH((AG124+AH124),[1]Sheet1!$B$1:$B$13)),0)</f>
        <v>0</v>
      </c>
      <c r="AL124" s="6">
        <f t="shared" si="60"/>
        <v>0</v>
      </c>
      <c r="AM124" s="8"/>
      <c r="AN124" s="8">
        <f t="shared" si="61"/>
        <v>0</v>
      </c>
      <c r="AO124" s="8">
        <f t="shared" si="62"/>
        <v>0</v>
      </c>
      <c r="AP124" s="8">
        <f t="shared" si="72"/>
        <v>0</v>
      </c>
      <c r="AQ124" s="8">
        <f>IFERROR((AM124+AN124)*INDEX([1]Sheet1!$A$1:$A$13,MATCH((AM124+AN124),[1]Sheet1!$B$1:$B$13)),0)</f>
        <v>0</v>
      </c>
      <c r="AR124" s="6">
        <f t="shared" si="63"/>
        <v>0</v>
      </c>
      <c r="AS124" s="8"/>
      <c r="AT124" s="8">
        <f t="shared" si="64"/>
        <v>0</v>
      </c>
      <c r="AU124" s="8">
        <f t="shared" si="65"/>
        <v>0</v>
      </c>
      <c r="AV124" s="8">
        <f t="shared" si="73"/>
        <v>0</v>
      </c>
      <c r="AW124" s="8">
        <f>IFERROR((AS124+AT124)*INDEX([1]Sheet1!$A$1:$A$13,MATCH((AS124+AT124),[1]Sheet1!$B$1:$B$13)),0)</f>
        <v>0</v>
      </c>
      <c r="BC124" s="1" t="str">
        <f t="shared" si="66"/>
        <v/>
      </c>
    </row>
    <row r="125" spans="1:55" ht="18" customHeight="1" x14ac:dyDescent="0.2">
      <c r="A125" s="4"/>
      <c r="B125" s="5"/>
      <c r="C125" s="6"/>
      <c r="D125" s="6"/>
      <c r="E125" s="6"/>
      <c r="F125" s="4"/>
      <c r="G125" s="6"/>
      <c r="H125" s="6">
        <f t="shared" si="46"/>
        <v>0</v>
      </c>
      <c r="I125" s="8"/>
      <c r="J125" s="8"/>
      <c r="K125" s="8">
        <f t="shared" si="47"/>
        <v>0</v>
      </c>
      <c r="L125" s="8">
        <f t="shared" si="67"/>
        <v>0</v>
      </c>
      <c r="M125" s="8">
        <f>IFERROR((I125+J125)*INDEX([1]Sheet1!$A$1:$A$13,MATCH((I125+J125),[1]Sheet1!$B$1:$B$13)),0)</f>
        <v>0</v>
      </c>
      <c r="N125" s="6">
        <f t="shared" si="48"/>
        <v>0</v>
      </c>
      <c r="O125" s="8"/>
      <c r="P125" s="8">
        <f t="shared" si="49"/>
        <v>0</v>
      </c>
      <c r="Q125" s="8">
        <f t="shared" si="50"/>
        <v>0</v>
      </c>
      <c r="R125" s="8">
        <f t="shared" si="68"/>
        <v>0</v>
      </c>
      <c r="S125" s="8">
        <f>IFERROR((O125+P125)*INDEX([1]Sheet1!$A$1:$A$13,MATCH((O125+P125),[1]Sheet1!$B$1:$B$13)),0)</f>
        <v>0</v>
      </c>
      <c r="T125" s="6">
        <f t="shared" si="51"/>
        <v>0</v>
      </c>
      <c r="U125" s="8"/>
      <c r="V125" s="8">
        <f t="shared" si="52"/>
        <v>0</v>
      </c>
      <c r="W125" s="8">
        <f t="shared" si="53"/>
        <v>0</v>
      </c>
      <c r="X125" s="8">
        <f t="shared" si="69"/>
        <v>0</v>
      </c>
      <c r="Y125" s="8">
        <f>IFERROR((U125+V125)*INDEX([1]Sheet1!$A$1:$A$13,MATCH((U125+V125),[1]Sheet1!$B$1:$B$13)),0)</f>
        <v>0</v>
      </c>
      <c r="Z125" s="6">
        <f t="shared" si="54"/>
        <v>0</v>
      </c>
      <c r="AA125" s="8"/>
      <c r="AB125" s="8">
        <f t="shared" si="55"/>
        <v>0</v>
      </c>
      <c r="AC125" s="8">
        <f t="shared" si="56"/>
        <v>0</v>
      </c>
      <c r="AD125" s="8">
        <f t="shared" si="70"/>
        <v>0</v>
      </c>
      <c r="AE125" s="8">
        <f>IFERROR((AA125+AB125)*INDEX([1]Sheet1!$A$1:$A$13,MATCH((AA125+AB125),[1]Sheet1!$B$1:$B$13)),0)</f>
        <v>0</v>
      </c>
      <c r="AF125" s="6">
        <f t="shared" si="57"/>
        <v>0</v>
      </c>
      <c r="AG125" s="8"/>
      <c r="AH125" s="8">
        <f t="shared" si="58"/>
        <v>0</v>
      </c>
      <c r="AI125" s="8">
        <f t="shared" si="59"/>
        <v>0</v>
      </c>
      <c r="AJ125" s="8">
        <f t="shared" si="71"/>
        <v>0</v>
      </c>
      <c r="AK125" s="8">
        <f>IFERROR((AG125+AH125)*INDEX([1]Sheet1!$A$1:$A$13,MATCH((AG125+AH125),[1]Sheet1!$B$1:$B$13)),0)</f>
        <v>0</v>
      </c>
      <c r="AL125" s="6">
        <f t="shared" si="60"/>
        <v>0</v>
      </c>
      <c r="AM125" s="8"/>
      <c r="AN125" s="8">
        <f t="shared" si="61"/>
        <v>0</v>
      </c>
      <c r="AO125" s="8">
        <f t="shared" si="62"/>
        <v>0</v>
      </c>
      <c r="AP125" s="8">
        <f t="shared" si="72"/>
        <v>0</v>
      </c>
      <c r="AQ125" s="8">
        <f>IFERROR((AM125+AN125)*INDEX([1]Sheet1!$A$1:$A$13,MATCH((AM125+AN125),[1]Sheet1!$B$1:$B$13)),0)</f>
        <v>0</v>
      </c>
      <c r="AR125" s="6">
        <f t="shared" si="63"/>
        <v>0</v>
      </c>
      <c r="AS125" s="8"/>
      <c r="AT125" s="8">
        <f t="shared" si="64"/>
        <v>0</v>
      </c>
      <c r="AU125" s="8">
        <f t="shared" si="65"/>
        <v>0</v>
      </c>
      <c r="AV125" s="8">
        <f t="shared" si="73"/>
        <v>0</v>
      </c>
      <c r="AW125" s="8">
        <f>IFERROR((AS125+AT125)*INDEX([1]Sheet1!$A$1:$A$13,MATCH((AS125+AT125),[1]Sheet1!$B$1:$B$13)),0)</f>
        <v>0</v>
      </c>
      <c r="BC125" s="1" t="str">
        <f t="shared" si="66"/>
        <v/>
      </c>
    </row>
    <row r="126" spans="1:55" ht="18" customHeight="1" x14ac:dyDescent="0.2">
      <c r="A126" s="4"/>
      <c r="B126" s="5"/>
      <c r="C126" s="6"/>
      <c r="D126" s="6"/>
      <c r="E126" s="6"/>
      <c r="F126" s="4"/>
      <c r="G126" s="6"/>
      <c r="H126" s="6">
        <f t="shared" si="46"/>
        <v>0</v>
      </c>
      <c r="I126" s="8"/>
      <c r="J126" s="8"/>
      <c r="K126" s="8">
        <f t="shared" si="47"/>
        <v>0</v>
      </c>
      <c r="L126" s="8">
        <f t="shared" si="67"/>
        <v>0</v>
      </c>
      <c r="M126" s="8">
        <f>IFERROR((I126+J126)*INDEX([1]Sheet1!$A$1:$A$13,MATCH((I126+J126),[1]Sheet1!$B$1:$B$13)),0)</f>
        <v>0</v>
      </c>
      <c r="N126" s="6">
        <f t="shared" si="48"/>
        <v>0</v>
      </c>
      <c r="O126" s="8"/>
      <c r="P126" s="8">
        <f t="shared" si="49"/>
        <v>0</v>
      </c>
      <c r="Q126" s="8">
        <f t="shared" si="50"/>
        <v>0</v>
      </c>
      <c r="R126" s="8">
        <f t="shared" si="68"/>
        <v>0</v>
      </c>
      <c r="S126" s="8">
        <f>IFERROR((O126+P126)*INDEX([1]Sheet1!$A$1:$A$13,MATCH((O126+P126),[1]Sheet1!$B$1:$B$13)),0)</f>
        <v>0</v>
      </c>
      <c r="T126" s="6">
        <f t="shared" si="51"/>
        <v>0</v>
      </c>
      <c r="U126" s="8"/>
      <c r="V126" s="8">
        <f t="shared" si="52"/>
        <v>0</v>
      </c>
      <c r="W126" s="8">
        <f t="shared" si="53"/>
        <v>0</v>
      </c>
      <c r="X126" s="8">
        <f t="shared" si="69"/>
        <v>0</v>
      </c>
      <c r="Y126" s="8">
        <f>IFERROR((U126+V126)*INDEX([1]Sheet1!$A$1:$A$13,MATCH((U126+V126),[1]Sheet1!$B$1:$B$13)),0)</f>
        <v>0</v>
      </c>
      <c r="Z126" s="6">
        <f t="shared" si="54"/>
        <v>0</v>
      </c>
      <c r="AA126" s="8"/>
      <c r="AB126" s="8">
        <f t="shared" si="55"/>
        <v>0</v>
      </c>
      <c r="AC126" s="8">
        <f t="shared" si="56"/>
        <v>0</v>
      </c>
      <c r="AD126" s="8">
        <f t="shared" si="70"/>
        <v>0</v>
      </c>
      <c r="AE126" s="8">
        <f>IFERROR((AA126+AB126)*INDEX([1]Sheet1!$A$1:$A$13,MATCH((AA126+AB126),[1]Sheet1!$B$1:$B$13)),0)</f>
        <v>0</v>
      </c>
      <c r="AF126" s="6">
        <f t="shared" si="57"/>
        <v>0</v>
      </c>
      <c r="AG126" s="8"/>
      <c r="AH126" s="8">
        <f t="shared" si="58"/>
        <v>0</v>
      </c>
      <c r="AI126" s="8">
        <f t="shared" si="59"/>
        <v>0</v>
      </c>
      <c r="AJ126" s="8">
        <f t="shared" si="71"/>
        <v>0</v>
      </c>
      <c r="AK126" s="8">
        <f>IFERROR((AG126+AH126)*INDEX([1]Sheet1!$A$1:$A$13,MATCH((AG126+AH126),[1]Sheet1!$B$1:$B$13)),0)</f>
        <v>0</v>
      </c>
      <c r="AL126" s="6">
        <f t="shared" si="60"/>
        <v>0</v>
      </c>
      <c r="AM126" s="8"/>
      <c r="AN126" s="8">
        <f t="shared" si="61"/>
        <v>0</v>
      </c>
      <c r="AO126" s="8">
        <f t="shared" si="62"/>
        <v>0</v>
      </c>
      <c r="AP126" s="8">
        <f t="shared" si="72"/>
        <v>0</v>
      </c>
      <c r="AQ126" s="8">
        <f>IFERROR((AM126+AN126)*INDEX([1]Sheet1!$A$1:$A$13,MATCH((AM126+AN126),[1]Sheet1!$B$1:$B$13)),0)</f>
        <v>0</v>
      </c>
      <c r="AR126" s="6">
        <f t="shared" si="63"/>
        <v>0</v>
      </c>
      <c r="AS126" s="8"/>
      <c r="AT126" s="8">
        <f t="shared" si="64"/>
        <v>0</v>
      </c>
      <c r="AU126" s="8">
        <f t="shared" si="65"/>
        <v>0</v>
      </c>
      <c r="AV126" s="8">
        <f t="shared" si="73"/>
        <v>0</v>
      </c>
      <c r="AW126" s="8">
        <f>IFERROR((AS126+AT126)*INDEX([1]Sheet1!$A$1:$A$13,MATCH((AS126+AT126),[1]Sheet1!$B$1:$B$13)),0)</f>
        <v>0</v>
      </c>
      <c r="BC126" s="1" t="str">
        <f t="shared" si="66"/>
        <v/>
      </c>
    </row>
    <row r="127" spans="1:55" ht="18" customHeight="1" x14ac:dyDescent="0.2">
      <c r="A127" s="4"/>
      <c r="B127" s="5"/>
      <c r="C127" s="6"/>
      <c r="D127" s="6"/>
      <c r="E127" s="6"/>
      <c r="F127" s="4"/>
      <c r="G127" s="6"/>
      <c r="H127" s="6">
        <f t="shared" si="46"/>
        <v>0</v>
      </c>
      <c r="I127" s="8"/>
      <c r="J127" s="8"/>
      <c r="K127" s="8">
        <f t="shared" si="47"/>
        <v>0</v>
      </c>
      <c r="L127" s="8">
        <f t="shared" si="67"/>
        <v>0</v>
      </c>
      <c r="M127" s="8">
        <f>IFERROR((I127+J127)*INDEX([1]Sheet1!$A$1:$A$13,MATCH((I127+J127),[1]Sheet1!$B$1:$B$13)),0)</f>
        <v>0</v>
      </c>
      <c r="N127" s="6">
        <f t="shared" si="48"/>
        <v>0</v>
      </c>
      <c r="O127" s="8"/>
      <c r="P127" s="8">
        <f t="shared" si="49"/>
        <v>0</v>
      </c>
      <c r="Q127" s="8">
        <f t="shared" si="50"/>
        <v>0</v>
      </c>
      <c r="R127" s="8">
        <f t="shared" si="68"/>
        <v>0</v>
      </c>
      <c r="S127" s="8">
        <f>IFERROR((O127+P127)*INDEX([1]Sheet1!$A$1:$A$13,MATCH((O127+P127),[1]Sheet1!$B$1:$B$13)),0)</f>
        <v>0</v>
      </c>
      <c r="T127" s="6">
        <f t="shared" si="51"/>
        <v>0</v>
      </c>
      <c r="U127" s="8"/>
      <c r="V127" s="8">
        <f t="shared" si="52"/>
        <v>0</v>
      </c>
      <c r="W127" s="8">
        <f t="shared" si="53"/>
        <v>0</v>
      </c>
      <c r="X127" s="8">
        <f t="shared" si="69"/>
        <v>0</v>
      </c>
      <c r="Y127" s="8">
        <f>IFERROR((U127+V127)*INDEX([1]Sheet1!$A$1:$A$13,MATCH((U127+V127),[1]Sheet1!$B$1:$B$13)),0)</f>
        <v>0</v>
      </c>
      <c r="Z127" s="6">
        <f t="shared" si="54"/>
        <v>0</v>
      </c>
      <c r="AA127" s="8"/>
      <c r="AB127" s="8">
        <f t="shared" si="55"/>
        <v>0</v>
      </c>
      <c r="AC127" s="8">
        <f t="shared" si="56"/>
        <v>0</v>
      </c>
      <c r="AD127" s="8">
        <f t="shared" si="70"/>
        <v>0</v>
      </c>
      <c r="AE127" s="8">
        <f>IFERROR((AA127+AB127)*INDEX([1]Sheet1!$A$1:$A$13,MATCH((AA127+AB127),[1]Sheet1!$B$1:$B$13)),0)</f>
        <v>0</v>
      </c>
      <c r="AF127" s="6">
        <f t="shared" si="57"/>
        <v>0</v>
      </c>
      <c r="AG127" s="8"/>
      <c r="AH127" s="8">
        <f t="shared" si="58"/>
        <v>0</v>
      </c>
      <c r="AI127" s="8">
        <f t="shared" si="59"/>
        <v>0</v>
      </c>
      <c r="AJ127" s="8">
        <f t="shared" si="71"/>
        <v>0</v>
      </c>
      <c r="AK127" s="8">
        <f>IFERROR((AG127+AH127)*INDEX([1]Sheet1!$A$1:$A$13,MATCH((AG127+AH127),[1]Sheet1!$B$1:$B$13)),0)</f>
        <v>0</v>
      </c>
      <c r="AL127" s="6">
        <f t="shared" si="60"/>
        <v>0</v>
      </c>
      <c r="AM127" s="8"/>
      <c r="AN127" s="8">
        <f t="shared" si="61"/>
        <v>0</v>
      </c>
      <c r="AO127" s="8">
        <f t="shared" si="62"/>
        <v>0</v>
      </c>
      <c r="AP127" s="8">
        <f t="shared" si="72"/>
        <v>0</v>
      </c>
      <c r="AQ127" s="8">
        <f>IFERROR((AM127+AN127)*INDEX([1]Sheet1!$A$1:$A$13,MATCH((AM127+AN127),[1]Sheet1!$B$1:$B$13)),0)</f>
        <v>0</v>
      </c>
      <c r="AR127" s="6">
        <f t="shared" si="63"/>
        <v>0</v>
      </c>
      <c r="AS127" s="8"/>
      <c r="AT127" s="8">
        <f t="shared" si="64"/>
        <v>0</v>
      </c>
      <c r="AU127" s="8">
        <f t="shared" si="65"/>
        <v>0</v>
      </c>
      <c r="AV127" s="8">
        <f t="shared" si="73"/>
        <v>0</v>
      </c>
      <c r="AW127" s="8">
        <f>IFERROR((AS127+AT127)*INDEX([1]Sheet1!$A$1:$A$13,MATCH((AS127+AT127),[1]Sheet1!$B$1:$B$13)),0)</f>
        <v>0</v>
      </c>
      <c r="BC127" s="1" t="str">
        <f t="shared" si="66"/>
        <v/>
      </c>
    </row>
    <row r="128" spans="1:55" ht="18" customHeight="1" x14ac:dyDescent="0.2">
      <c r="A128" s="4"/>
      <c r="B128" s="6"/>
      <c r="C128" s="6"/>
      <c r="D128" s="6"/>
      <c r="E128" s="6"/>
      <c r="F128" s="4"/>
      <c r="G128" s="6"/>
      <c r="H128" s="6">
        <f t="shared" si="46"/>
        <v>0</v>
      </c>
      <c r="I128" s="8"/>
      <c r="J128" s="8"/>
      <c r="K128" s="8">
        <f t="shared" si="47"/>
        <v>0</v>
      </c>
      <c r="L128" s="8">
        <f t="shared" si="67"/>
        <v>0</v>
      </c>
      <c r="M128" s="8">
        <f>IFERROR((I128+J128)*INDEX([1]Sheet1!$A$1:$A$13,MATCH((I128+J128),[1]Sheet1!$B$1:$B$13)),0)</f>
        <v>0</v>
      </c>
      <c r="N128" s="6">
        <f t="shared" si="48"/>
        <v>0</v>
      </c>
      <c r="O128" s="8"/>
      <c r="P128" s="8">
        <f t="shared" si="49"/>
        <v>0</v>
      </c>
      <c r="Q128" s="8">
        <f t="shared" si="50"/>
        <v>0</v>
      </c>
      <c r="R128" s="8">
        <f t="shared" si="68"/>
        <v>0</v>
      </c>
      <c r="S128" s="8">
        <f>IFERROR((O128+P128)*INDEX([1]Sheet1!$A$1:$A$13,MATCH((O128+P128),[1]Sheet1!$B$1:$B$13)),0)</f>
        <v>0</v>
      </c>
      <c r="T128" s="6">
        <f t="shared" si="51"/>
        <v>0</v>
      </c>
      <c r="U128" s="8"/>
      <c r="V128" s="8">
        <f t="shared" si="52"/>
        <v>0</v>
      </c>
      <c r="W128" s="8">
        <f t="shared" si="53"/>
        <v>0</v>
      </c>
      <c r="X128" s="8">
        <f t="shared" si="69"/>
        <v>0</v>
      </c>
      <c r="Y128" s="8">
        <f>IFERROR((U128+V128)*INDEX([1]Sheet1!$A$1:$A$13,MATCH((U128+V128),[1]Sheet1!$B$1:$B$13)),0)</f>
        <v>0</v>
      </c>
      <c r="Z128" s="6">
        <f t="shared" si="54"/>
        <v>0</v>
      </c>
      <c r="AA128" s="8"/>
      <c r="AB128" s="8">
        <f t="shared" si="55"/>
        <v>0</v>
      </c>
      <c r="AC128" s="8">
        <f t="shared" si="56"/>
        <v>0</v>
      </c>
      <c r="AD128" s="8">
        <f t="shared" si="70"/>
        <v>0</v>
      </c>
      <c r="AE128" s="8">
        <f>IFERROR((AA128+AB128)*INDEX([1]Sheet1!$A$1:$A$13,MATCH((AA128+AB128),[1]Sheet1!$B$1:$B$13)),0)</f>
        <v>0</v>
      </c>
      <c r="AF128" s="6">
        <f t="shared" si="57"/>
        <v>0</v>
      </c>
      <c r="AG128" s="8"/>
      <c r="AH128" s="8">
        <f t="shared" si="58"/>
        <v>0</v>
      </c>
      <c r="AI128" s="8">
        <f t="shared" si="59"/>
        <v>0</v>
      </c>
      <c r="AJ128" s="8">
        <f t="shared" si="71"/>
        <v>0</v>
      </c>
      <c r="AK128" s="8">
        <f>IFERROR((AG128+AH128)*INDEX([1]Sheet1!$A$1:$A$13,MATCH((AG128+AH128),[1]Sheet1!$B$1:$B$13)),0)</f>
        <v>0</v>
      </c>
      <c r="AL128" s="6">
        <f t="shared" si="60"/>
        <v>0</v>
      </c>
      <c r="AM128" s="8"/>
      <c r="AN128" s="8">
        <f t="shared" si="61"/>
        <v>0</v>
      </c>
      <c r="AO128" s="8">
        <f t="shared" si="62"/>
        <v>0</v>
      </c>
      <c r="AP128" s="8">
        <f t="shared" si="72"/>
        <v>0</v>
      </c>
      <c r="AQ128" s="8">
        <f>IFERROR((AM128+AN128)*INDEX([1]Sheet1!$A$1:$A$13,MATCH((AM128+AN128),[1]Sheet1!$B$1:$B$13)),0)</f>
        <v>0</v>
      </c>
      <c r="AR128" s="6">
        <f t="shared" si="63"/>
        <v>0</v>
      </c>
      <c r="AS128" s="8"/>
      <c r="AT128" s="8">
        <f t="shared" si="64"/>
        <v>0</v>
      </c>
      <c r="AU128" s="8">
        <f t="shared" si="65"/>
        <v>0</v>
      </c>
      <c r="AV128" s="8">
        <f t="shared" si="73"/>
        <v>0</v>
      </c>
      <c r="AW128" s="8">
        <f>IFERROR((AS128+AT128)*INDEX([1]Sheet1!$A$1:$A$13,MATCH((AS128+AT128),[1]Sheet1!$B$1:$B$13)),0)</f>
        <v>0</v>
      </c>
      <c r="BC128" s="1" t="str">
        <f t="shared" si="66"/>
        <v/>
      </c>
    </row>
    <row r="129" spans="1:55" ht="18" customHeight="1" x14ac:dyDescent="0.2">
      <c r="A129" s="4"/>
      <c r="B129" s="5"/>
      <c r="C129" s="6"/>
      <c r="D129" s="6"/>
      <c r="E129" s="6"/>
      <c r="F129" s="4"/>
      <c r="G129" s="6"/>
      <c r="H129" s="6">
        <f t="shared" si="46"/>
        <v>0</v>
      </c>
      <c r="I129" s="8"/>
      <c r="J129" s="8"/>
      <c r="K129" s="8">
        <f t="shared" si="47"/>
        <v>0</v>
      </c>
      <c r="L129" s="8">
        <f t="shared" si="67"/>
        <v>0</v>
      </c>
      <c r="M129" s="8">
        <f>IFERROR((I129+J129)*INDEX([1]Sheet1!$A$1:$A$13,MATCH((I129+J129),[1]Sheet1!$B$1:$B$13)),0)</f>
        <v>0</v>
      </c>
      <c r="N129" s="6">
        <f t="shared" si="48"/>
        <v>0</v>
      </c>
      <c r="O129" s="8"/>
      <c r="P129" s="8">
        <f t="shared" si="49"/>
        <v>0</v>
      </c>
      <c r="Q129" s="8">
        <f t="shared" si="50"/>
        <v>0</v>
      </c>
      <c r="R129" s="8">
        <f t="shared" si="68"/>
        <v>0</v>
      </c>
      <c r="S129" s="8">
        <f>IFERROR((O129+P129)*INDEX([1]Sheet1!$A$1:$A$13,MATCH((O129+P129),[1]Sheet1!$B$1:$B$13)),0)</f>
        <v>0</v>
      </c>
      <c r="T129" s="6">
        <f t="shared" si="51"/>
        <v>0</v>
      </c>
      <c r="U129" s="8"/>
      <c r="V129" s="8">
        <f t="shared" si="52"/>
        <v>0</v>
      </c>
      <c r="W129" s="8">
        <f t="shared" si="53"/>
        <v>0</v>
      </c>
      <c r="X129" s="8">
        <f t="shared" si="69"/>
        <v>0</v>
      </c>
      <c r="Y129" s="8">
        <f>IFERROR((U129+V129)*INDEX([1]Sheet1!$A$1:$A$13,MATCH((U129+V129),[1]Sheet1!$B$1:$B$13)),0)</f>
        <v>0</v>
      </c>
      <c r="Z129" s="6">
        <f t="shared" si="54"/>
        <v>0</v>
      </c>
      <c r="AA129" s="8"/>
      <c r="AB129" s="8">
        <f t="shared" si="55"/>
        <v>0</v>
      </c>
      <c r="AC129" s="8">
        <f t="shared" si="56"/>
        <v>0</v>
      </c>
      <c r="AD129" s="8">
        <f t="shared" si="70"/>
        <v>0</v>
      </c>
      <c r="AE129" s="8">
        <f>IFERROR((AA129+AB129)*INDEX([1]Sheet1!$A$1:$A$13,MATCH((AA129+AB129),[1]Sheet1!$B$1:$B$13)),0)</f>
        <v>0</v>
      </c>
      <c r="AF129" s="6">
        <f t="shared" si="57"/>
        <v>0</v>
      </c>
      <c r="AG129" s="8"/>
      <c r="AH129" s="8">
        <f t="shared" si="58"/>
        <v>0</v>
      </c>
      <c r="AI129" s="8">
        <f t="shared" si="59"/>
        <v>0</v>
      </c>
      <c r="AJ129" s="8">
        <f t="shared" si="71"/>
        <v>0</v>
      </c>
      <c r="AK129" s="8">
        <f>IFERROR((AG129+AH129)*INDEX([1]Sheet1!$A$1:$A$13,MATCH((AG129+AH129),[1]Sheet1!$B$1:$B$13)),0)</f>
        <v>0</v>
      </c>
      <c r="AL129" s="6">
        <f t="shared" si="60"/>
        <v>0</v>
      </c>
      <c r="AM129" s="8"/>
      <c r="AN129" s="8">
        <f t="shared" si="61"/>
        <v>0</v>
      </c>
      <c r="AO129" s="8">
        <f t="shared" si="62"/>
        <v>0</v>
      </c>
      <c r="AP129" s="8">
        <f t="shared" si="72"/>
        <v>0</v>
      </c>
      <c r="AQ129" s="8">
        <f>IFERROR((AM129+AN129)*INDEX([1]Sheet1!$A$1:$A$13,MATCH((AM129+AN129),[1]Sheet1!$B$1:$B$13)),0)</f>
        <v>0</v>
      </c>
      <c r="AR129" s="6">
        <f t="shared" si="63"/>
        <v>0</v>
      </c>
      <c r="AS129" s="8"/>
      <c r="AT129" s="8">
        <f t="shared" si="64"/>
        <v>0</v>
      </c>
      <c r="AU129" s="8">
        <f t="shared" si="65"/>
        <v>0</v>
      </c>
      <c r="AV129" s="8">
        <f t="shared" si="73"/>
        <v>0</v>
      </c>
      <c r="AW129" s="8">
        <f>IFERROR((AS129+AT129)*INDEX([1]Sheet1!$A$1:$A$13,MATCH((AS129+AT129),[1]Sheet1!$B$1:$B$13)),0)</f>
        <v>0</v>
      </c>
      <c r="BC129" s="1" t="str">
        <f t="shared" si="66"/>
        <v/>
      </c>
    </row>
    <row r="130" spans="1:55" ht="18" customHeight="1" x14ac:dyDescent="0.2">
      <c r="A130" s="4"/>
      <c r="B130" s="5"/>
      <c r="C130" s="6"/>
      <c r="D130" s="6"/>
      <c r="E130" s="6"/>
      <c r="F130" s="4"/>
      <c r="G130" s="6"/>
      <c r="H130" s="6">
        <f t="shared" si="46"/>
        <v>0</v>
      </c>
      <c r="I130" s="8"/>
      <c r="J130" s="8"/>
      <c r="K130" s="8">
        <f t="shared" si="47"/>
        <v>0</v>
      </c>
      <c r="L130" s="8">
        <f t="shared" si="67"/>
        <v>0</v>
      </c>
      <c r="M130" s="8">
        <f>IFERROR((I130+J130)*INDEX([1]Sheet1!$A$1:$A$13,MATCH((I130+J130),[1]Sheet1!$B$1:$B$13)),0)</f>
        <v>0</v>
      </c>
      <c r="N130" s="6">
        <f t="shared" si="48"/>
        <v>0</v>
      </c>
      <c r="O130" s="8"/>
      <c r="P130" s="8">
        <f t="shared" si="49"/>
        <v>0</v>
      </c>
      <c r="Q130" s="8">
        <f t="shared" si="50"/>
        <v>0</v>
      </c>
      <c r="R130" s="8">
        <f t="shared" si="68"/>
        <v>0</v>
      </c>
      <c r="S130" s="8">
        <f>IFERROR((O130+P130)*INDEX([1]Sheet1!$A$1:$A$13,MATCH((O130+P130),[1]Sheet1!$B$1:$B$13)),0)</f>
        <v>0</v>
      </c>
      <c r="T130" s="6">
        <f t="shared" si="51"/>
        <v>0</v>
      </c>
      <c r="U130" s="8"/>
      <c r="V130" s="8">
        <f t="shared" si="52"/>
        <v>0</v>
      </c>
      <c r="W130" s="8">
        <f t="shared" si="53"/>
        <v>0</v>
      </c>
      <c r="X130" s="8">
        <f t="shared" si="69"/>
        <v>0</v>
      </c>
      <c r="Y130" s="8">
        <f>IFERROR((U130+V130)*INDEX([1]Sheet1!$A$1:$A$13,MATCH((U130+V130),[1]Sheet1!$B$1:$B$13)),0)</f>
        <v>0</v>
      </c>
      <c r="Z130" s="6">
        <f t="shared" si="54"/>
        <v>0</v>
      </c>
      <c r="AA130" s="8"/>
      <c r="AB130" s="8">
        <f t="shared" si="55"/>
        <v>0</v>
      </c>
      <c r="AC130" s="8">
        <f t="shared" si="56"/>
        <v>0</v>
      </c>
      <c r="AD130" s="8">
        <f t="shared" si="70"/>
        <v>0</v>
      </c>
      <c r="AE130" s="8">
        <f>IFERROR((AA130+AB130)*INDEX([1]Sheet1!$A$1:$A$13,MATCH((AA130+AB130),[1]Sheet1!$B$1:$B$13)),0)</f>
        <v>0</v>
      </c>
      <c r="AF130" s="6">
        <f t="shared" si="57"/>
        <v>0</v>
      </c>
      <c r="AG130" s="8"/>
      <c r="AH130" s="8">
        <f t="shared" si="58"/>
        <v>0</v>
      </c>
      <c r="AI130" s="8">
        <f t="shared" si="59"/>
        <v>0</v>
      </c>
      <c r="AJ130" s="8">
        <f t="shared" si="71"/>
        <v>0</v>
      </c>
      <c r="AK130" s="8">
        <f>IFERROR((AG130+AH130)*INDEX([1]Sheet1!$A$1:$A$13,MATCH((AG130+AH130),[1]Sheet1!$B$1:$B$13)),0)</f>
        <v>0</v>
      </c>
      <c r="AL130" s="6">
        <f t="shared" si="60"/>
        <v>0</v>
      </c>
      <c r="AM130" s="8"/>
      <c r="AN130" s="8">
        <f t="shared" si="61"/>
        <v>0</v>
      </c>
      <c r="AO130" s="8">
        <f t="shared" si="62"/>
        <v>0</v>
      </c>
      <c r="AP130" s="8">
        <f t="shared" si="72"/>
        <v>0</v>
      </c>
      <c r="AQ130" s="8">
        <f>IFERROR((AM130+AN130)*INDEX([1]Sheet1!$A$1:$A$13,MATCH((AM130+AN130),[1]Sheet1!$B$1:$B$13)),0)</f>
        <v>0</v>
      </c>
      <c r="AR130" s="6">
        <f t="shared" si="63"/>
        <v>0</v>
      </c>
      <c r="AS130" s="8"/>
      <c r="AT130" s="8">
        <f t="shared" si="64"/>
        <v>0</v>
      </c>
      <c r="AU130" s="8">
        <f t="shared" si="65"/>
        <v>0</v>
      </c>
      <c r="AV130" s="8">
        <f t="shared" si="73"/>
        <v>0</v>
      </c>
      <c r="AW130" s="8">
        <f>IFERROR((AS130+AT130)*INDEX([1]Sheet1!$A$1:$A$13,MATCH((AS130+AT130),[1]Sheet1!$B$1:$B$13)),0)</f>
        <v>0</v>
      </c>
      <c r="BC130" s="1" t="str">
        <f t="shared" si="66"/>
        <v/>
      </c>
    </row>
    <row r="131" spans="1:55" ht="18" customHeight="1" x14ac:dyDescent="0.2">
      <c r="A131" s="4"/>
      <c r="B131" s="5"/>
      <c r="C131" s="6"/>
      <c r="D131" s="6"/>
      <c r="E131" s="6"/>
      <c r="F131" s="4"/>
      <c r="G131" s="6"/>
      <c r="H131" s="6">
        <f t="shared" si="46"/>
        <v>0</v>
      </c>
      <c r="I131" s="8"/>
      <c r="J131" s="8"/>
      <c r="K131" s="8">
        <f t="shared" si="47"/>
        <v>0</v>
      </c>
      <c r="L131" s="8">
        <f t="shared" si="67"/>
        <v>0</v>
      </c>
      <c r="M131" s="8">
        <f>IFERROR((I131+J131)*INDEX([1]Sheet1!$A$1:$A$13,MATCH((I131+J131),[1]Sheet1!$B$1:$B$13)),0)</f>
        <v>0</v>
      </c>
      <c r="N131" s="6">
        <f t="shared" si="48"/>
        <v>0</v>
      </c>
      <c r="O131" s="8"/>
      <c r="P131" s="8">
        <f t="shared" si="49"/>
        <v>0</v>
      </c>
      <c r="Q131" s="8">
        <f t="shared" si="50"/>
        <v>0</v>
      </c>
      <c r="R131" s="8">
        <f t="shared" si="68"/>
        <v>0</v>
      </c>
      <c r="S131" s="8">
        <f>IFERROR((O131+P131)*INDEX([1]Sheet1!$A$1:$A$13,MATCH((O131+P131),[1]Sheet1!$B$1:$B$13)),0)</f>
        <v>0</v>
      </c>
      <c r="T131" s="6">
        <f t="shared" si="51"/>
        <v>0</v>
      </c>
      <c r="U131" s="8"/>
      <c r="V131" s="8">
        <f t="shared" si="52"/>
        <v>0</v>
      </c>
      <c r="W131" s="8">
        <f t="shared" si="53"/>
        <v>0</v>
      </c>
      <c r="X131" s="8">
        <f t="shared" si="69"/>
        <v>0</v>
      </c>
      <c r="Y131" s="8">
        <f>IFERROR((U131+V131)*INDEX([1]Sheet1!$A$1:$A$13,MATCH((U131+V131),[1]Sheet1!$B$1:$B$13)),0)</f>
        <v>0</v>
      </c>
      <c r="Z131" s="6">
        <f t="shared" si="54"/>
        <v>0</v>
      </c>
      <c r="AA131" s="8"/>
      <c r="AB131" s="8">
        <f t="shared" si="55"/>
        <v>0</v>
      </c>
      <c r="AC131" s="8">
        <f t="shared" si="56"/>
        <v>0</v>
      </c>
      <c r="AD131" s="8">
        <f t="shared" si="70"/>
        <v>0</v>
      </c>
      <c r="AE131" s="8">
        <f>IFERROR((AA131+AB131)*INDEX([1]Sheet1!$A$1:$A$13,MATCH((AA131+AB131),[1]Sheet1!$B$1:$B$13)),0)</f>
        <v>0</v>
      </c>
      <c r="AF131" s="6">
        <f t="shared" si="57"/>
        <v>0</v>
      </c>
      <c r="AG131" s="8"/>
      <c r="AH131" s="8">
        <f t="shared" si="58"/>
        <v>0</v>
      </c>
      <c r="AI131" s="8">
        <f t="shared" si="59"/>
        <v>0</v>
      </c>
      <c r="AJ131" s="8">
        <f t="shared" si="71"/>
        <v>0</v>
      </c>
      <c r="AK131" s="8">
        <f>IFERROR((AG131+AH131)*INDEX([1]Sheet1!$A$1:$A$13,MATCH((AG131+AH131),[1]Sheet1!$B$1:$B$13)),0)</f>
        <v>0</v>
      </c>
      <c r="AL131" s="6">
        <f t="shared" si="60"/>
        <v>0</v>
      </c>
      <c r="AM131" s="8"/>
      <c r="AN131" s="8">
        <f t="shared" si="61"/>
        <v>0</v>
      </c>
      <c r="AO131" s="8">
        <f t="shared" si="62"/>
        <v>0</v>
      </c>
      <c r="AP131" s="8">
        <f t="shared" si="72"/>
        <v>0</v>
      </c>
      <c r="AQ131" s="8">
        <f>IFERROR((AM131+AN131)*INDEX([1]Sheet1!$A$1:$A$13,MATCH((AM131+AN131),[1]Sheet1!$B$1:$B$13)),0)</f>
        <v>0</v>
      </c>
      <c r="AR131" s="6">
        <f t="shared" si="63"/>
        <v>0</v>
      </c>
      <c r="AS131" s="8"/>
      <c r="AT131" s="8">
        <f t="shared" si="64"/>
        <v>0</v>
      </c>
      <c r="AU131" s="8">
        <f t="shared" si="65"/>
        <v>0</v>
      </c>
      <c r="AV131" s="8">
        <f t="shared" si="73"/>
        <v>0</v>
      </c>
      <c r="AW131" s="8">
        <f>IFERROR((AS131+AT131)*INDEX([1]Sheet1!$A$1:$A$13,MATCH((AS131+AT131),[1]Sheet1!$B$1:$B$13)),0)</f>
        <v>0</v>
      </c>
      <c r="BC131" s="1" t="str">
        <f t="shared" si="66"/>
        <v/>
      </c>
    </row>
    <row r="132" spans="1:55" ht="18" customHeight="1" x14ac:dyDescent="0.2">
      <c r="A132" s="4"/>
      <c r="B132" s="5"/>
      <c r="C132" s="6"/>
      <c r="D132" s="6"/>
      <c r="E132" s="6"/>
      <c r="F132" s="4"/>
      <c r="G132" s="6"/>
      <c r="H132" s="6">
        <f t="shared" si="46"/>
        <v>0</v>
      </c>
      <c r="I132" s="8"/>
      <c r="J132" s="8"/>
      <c r="K132" s="8">
        <f t="shared" si="47"/>
        <v>0</v>
      </c>
      <c r="L132" s="8">
        <f t="shared" si="67"/>
        <v>0</v>
      </c>
      <c r="M132" s="8">
        <f>IFERROR((I132+J132)*INDEX([1]Sheet1!$A$1:$A$13,MATCH((I132+J132),[1]Sheet1!$B$1:$B$13)),0)</f>
        <v>0</v>
      </c>
      <c r="N132" s="6">
        <f t="shared" si="48"/>
        <v>0</v>
      </c>
      <c r="O132" s="8"/>
      <c r="P132" s="8">
        <f t="shared" si="49"/>
        <v>0</v>
      </c>
      <c r="Q132" s="8">
        <f t="shared" si="50"/>
        <v>0</v>
      </c>
      <c r="R132" s="8">
        <f t="shared" si="68"/>
        <v>0</v>
      </c>
      <c r="S132" s="8">
        <f>IFERROR((O132+P132)*INDEX([1]Sheet1!$A$1:$A$13,MATCH((O132+P132),[1]Sheet1!$B$1:$B$13)),0)</f>
        <v>0</v>
      </c>
      <c r="T132" s="6">
        <f t="shared" si="51"/>
        <v>0</v>
      </c>
      <c r="U132" s="8"/>
      <c r="V132" s="8">
        <f t="shared" si="52"/>
        <v>0</v>
      </c>
      <c r="W132" s="8">
        <f t="shared" si="53"/>
        <v>0</v>
      </c>
      <c r="X132" s="8">
        <f t="shared" si="69"/>
        <v>0</v>
      </c>
      <c r="Y132" s="8">
        <f>IFERROR((U132+V132)*INDEX([1]Sheet1!$A$1:$A$13,MATCH((U132+V132),[1]Sheet1!$B$1:$B$13)),0)</f>
        <v>0</v>
      </c>
      <c r="Z132" s="6">
        <f t="shared" si="54"/>
        <v>0</v>
      </c>
      <c r="AA132" s="8"/>
      <c r="AB132" s="8">
        <f t="shared" si="55"/>
        <v>0</v>
      </c>
      <c r="AC132" s="8">
        <f t="shared" si="56"/>
        <v>0</v>
      </c>
      <c r="AD132" s="8">
        <f t="shared" si="70"/>
        <v>0</v>
      </c>
      <c r="AE132" s="8">
        <f>IFERROR((AA132+AB132)*INDEX([1]Sheet1!$A$1:$A$13,MATCH((AA132+AB132),[1]Sheet1!$B$1:$B$13)),0)</f>
        <v>0</v>
      </c>
      <c r="AF132" s="6">
        <f t="shared" si="57"/>
        <v>0</v>
      </c>
      <c r="AG132" s="8"/>
      <c r="AH132" s="8">
        <f t="shared" si="58"/>
        <v>0</v>
      </c>
      <c r="AI132" s="8">
        <f t="shared" si="59"/>
        <v>0</v>
      </c>
      <c r="AJ132" s="8">
        <f t="shared" si="71"/>
        <v>0</v>
      </c>
      <c r="AK132" s="8">
        <f>IFERROR((AG132+AH132)*INDEX([1]Sheet1!$A$1:$A$13,MATCH((AG132+AH132),[1]Sheet1!$B$1:$B$13)),0)</f>
        <v>0</v>
      </c>
      <c r="AL132" s="6">
        <f t="shared" si="60"/>
        <v>0</v>
      </c>
      <c r="AM132" s="8"/>
      <c r="AN132" s="8">
        <f t="shared" si="61"/>
        <v>0</v>
      </c>
      <c r="AO132" s="8">
        <f t="shared" si="62"/>
        <v>0</v>
      </c>
      <c r="AP132" s="8">
        <f t="shared" si="72"/>
        <v>0</v>
      </c>
      <c r="AQ132" s="8">
        <f>IFERROR((AM132+AN132)*INDEX([1]Sheet1!$A$1:$A$13,MATCH((AM132+AN132),[1]Sheet1!$B$1:$B$13)),0)</f>
        <v>0</v>
      </c>
      <c r="AR132" s="6">
        <f t="shared" si="63"/>
        <v>0</v>
      </c>
      <c r="AS132" s="8"/>
      <c r="AT132" s="8">
        <f t="shared" si="64"/>
        <v>0</v>
      </c>
      <c r="AU132" s="8">
        <f t="shared" si="65"/>
        <v>0</v>
      </c>
      <c r="AV132" s="8">
        <f t="shared" si="73"/>
        <v>0</v>
      </c>
      <c r="AW132" s="8">
        <f>IFERROR((AS132+AT132)*INDEX([1]Sheet1!$A$1:$A$13,MATCH((AS132+AT132),[1]Sheet1!$B$1:$B$13)),0)</f>
        <v>0</v>
      </c>
      <c r="BC132" s="1" t="str">
        <f t="shared" si="66"/>
        <v/>
      </c>
    </row>
    <row r="133" spans="1:55" ht="18" customHeight="1" x14ac:dyDescent="0.2">
      <c r="A133" s="4"/>
      <c r="B133" s="6"/>
      <c r="C133" s="6"/>
      <c r="D133" s="6"/>
      <c r="E133" s="6"/>
      <c r="F133" s="4"/>
      <c r="G133" s="6"/>
      <c r="H133" s="6">
        <f t="shared" si="46"/>
        <v>0</v>
      </c>
      <c r="I133" s="8"/>
      <c r="J133" s="8"/>
      <c r="K133" s="8">
        <f t="shared" si="47"/>
        <v>0</v>
      </c>
      <c r="L133" s="8">
        <f t="shared" si="67"/>
        <v>0</v>
      </c>
      <c r="M133" s="8">
        <f>IFERROR((I133+J133)*INDEX([1]Sheet1!$A$1:$A$13,MATCH((I133+J133),[1]Sheet1!$B$1:$B$13)),0)</f>
        <v>0</v>
      </c>
      <c r="N133" s="6">
        <f t="shared" si="48"/>
        <v>0</v>
      </c>
      <c r="O133" s="8"/>
      <c r="P133" s="8">
        <f t="shared" si="49"/>
        <v>0</v>
      </c>
      <c r="Q133" s="8">
        <f t="shared" si="50"/>
        <v>0</v>
      </c>
      <c r="R133" s="8">
        <f t="shared" si="68"/>
        <v>0</v>
      </c>
      <c r="S133" s="8">
        <f>IFERROR((O133+P133)*INDEX([1]Sheet1!$A$1:$A$13,MATCH((O133+P133),[1]Sheet1!$B$1:$B$13)),0)</f>
        <v>0</v>
      </c>
      <c r="T133" s="6">
        <f t="shared" si="51"/>
        <v>0</v>
      </c>
      <c r="U133" s="8"/>
      <c r="V133" s="8">
        <f t="shared" si="52"/>
        <v>0</v>
      </c>
      <c r="W133" s="8">
        <f t="shared" si="53"/>
        <v>0</v>
      </c>
      <c r="X133" s="8">
        <f t="shared" si="69"/>
        <v>0</v>
      </c>
      <c r="Y133" s="8">
        <f>IFERROR((U133+V133)*INDEX([1]Sheet1!$A$1:$A$13,MATCH((U133+V133),[1]Sheet1!$B$1:$B$13)),0)</f>
        <v>0</v>
      </c>
      <c r="Z133" s="6">
        <f t="shared" si="54"/>
        <v>0</v>
      </c>
      <c r="AA133" s="8"/>
      <c r="AB133" s="8">
        <f t="shared" si="55"/>
        <v>0</v>
      </c>
      <c r="AC133" s="8">
        <f t="shared" si="56"/>
        <v>0</v>
      </c>
      <c r="AD133" s="8">
        <f t="shared" si="70"/>
        <v>0</v>
      </c>
      <c r="AE133" s="8">
        <f>IFERROR((AA133+AB133)*INDEX([1]Sheet1!$A$1:$A$13,MATCH((AA133+AB133),[1]Sheet1!$B$1:$B$13)),0)</f>
        <v>0</v>
      </c>
      <c r="AF133" s="6">
        <f t="shared" si="57"/>
        <v>0</v>
      </c>
      <c r="AG133" s="8"/>
      <c r="AH133" s="8">
        <f t="shared" si="58"/>
        <v>0</v>
      </c>
      <c r="AI133" s="8">
        <f t="shared" si="59"/>
        <v>0</v>
      </c>
      <c r="AJ133" s="8">
        <f t="shared" si="71"/>
        <v>0</v>
      </c>
      <c r="AK133" s="8">
        <f>IFERROR((AG133+AH133)*INDEX([1]Sheet1!$A$1:$A$13,MATCH((AG133+AH133),[1]Sheet1!$B$1:$B$13)),0)</f>
        <v>0</v>
      </c>
      <c r="AL133" s="6">
        <f t="shared" si="60"/>
        <v>0</v>
      </c>
      <c r="AM133" s="8"/>
      <c r="AN133" s="8">
        <f t="shared" si="61"/>
        <v>0</v>
      </c>
      <c r="AO133" s="8">
        <f t="shared" si="62"/>
        <v>0</v>
      </c>
      <c r="AP133" s="8">
        <f t="shared" si="72"/>
        <v>0</v>
      </c>
      <c r="AQ133" s="8">
        <f>IFERROR((AM133+AN133)*INDEX([1]Sheet1!$A$1:$A$13,MATCH((AM133+AN133),[1]Sheet1!$B$1:$B$13)),0)</f>
        <v>0</v>
      </c>
      <c r="AR133" s="6">
        <f t="shared" si="63"/>
        <v>0</v>
      </c>
      <c r="AS133" s="8"/>
      <c r="AT133" s="8">
        <f t="shared" si="64"/>
        <v>0</v>
      </c>
      <c r="AU133" s="8">
        <f t="shared" si="65"/>
        <v>0</v>
      </c>
      <c r="AV133" s="8">
        <f t="shared" si="73"/>
        <v>0</v>
      </c>
      <c r="AW133" s="8">
        <f>IFERROR((AS133+AT133)*INDEX([1]Sheet1!$A$1:$A$13,MATCH((AS133+AT133),[1]Sheet1!$B$1:$B$13)),0)</f>
        <v>0</v>
      </c>
      <c r="BC133" s="1" t="str">
        <f t="shared" si="66"/>
        <v/>
      </c>
    </row>
    <row r="134" spans="1:55" ht="18" customHeight="1" x14ac:dyDescent="0.2">
      <c r="A134" s="4"/>
      <c r="B134" s="6"/>
      <c r="C134" s="6"/>
      <c r="D134" s="6"/>
      <c r="E134" s="6"/>
      <c r="F134" s="4"/>
      <c r="G134" s="6"/>
      <c r="H134" s="6">
        <f t="shared" si="46"/>
        <v>0</v>
      </c>
      <c r="I134" s="8"/>
      <c r="J134" s="8"/>
      <c r="K134" s="8">
        <f t="shared" si="47"/>
        <v>0</v>
      </c>
      <c r="L134" s="8">
        <f t="shared" si="67"/>
        <v>0</v>
      </c>
      <c r="M134" s="8">
        <f>IFERROR((I134+J134)*INDEX([1]Sheet1!$A$1:$A$13,MATCH((I134+J134),[1]Sheet1!$B$1:$B$13)),0)</f>
        <v>0</v>
      </c>
      <c r="N134" s="6">
        <f t="shared" si="48"/>
        <v>0</v>
      </c>
      <c r="O134" s="8"/>
      <c r="P134" s="8">
        <f t="shared" si="49"/>
        <v>0</v>
      </c>
      <c r="Q134" s="8">
        <f t="shared" si="50"/>
        <v>0</v>
      </c>
      <c r="R134" s="8">
        <f t="shared" si="68"/>
        <v>0</v>
      </c>
      <c r="S134" s="8">
        <f>IFERROR((O134+P134)*INDEX([1]Sheet1!$A$1:$A$13,MATCH((O134+P134),[1]Sheet1!$B$1:$B$13)),0)</f>
        <v>0</v>
      </c>
      <c r="T134" s="6">
        <f t="shared" si="51"/>
        <v>0</v>
      </c>
      <c r="U134" s="8"/>
      <c r="V134" s="8">
        <f t="shared" si="52"/>
        <v>0</v>
      </c>
      <c r="W134" s="8">
        <f t="shared" si="53"/>
        <v>0</v>
      </c>
      <c r="X134" s="8">
        <f t="shared" si="69"/>
        <v>0</v>
      </c>
      <c r="Y134" s="8">
        <f>IFERROR((U134+V134)*INDEX([1]Sheet1!$A$1:$A$13,MATCH((U134+V134),[1]Sheet1!$B$1:$B$13)),0)</f>
        <v>0</v>
      </c>
      <c r="Z134" s="6">
        <f t="shared" si="54"/>
        <v>0</v>
      </c>
      <c r="AA134" s="8"/>
      <c r="AB134" s="8">
        <f t="shared" si="55"/>
        <v>0</v>
      </c>
      <c r="AC134" s="8">
        <f t="shared" si="56"/>
        <v>0</v>
      </c>
      <c r="AD134" s="8">
        <f t="shared" si="70"/>
        <v>0</v>
      </c>
      <c r="AE134" s="8">
        <f>IFERROR((AA134+AB134)*INDEX([1]Sheet1!$A$1:$A$13,MATCH((AA134+AB134),[1]Sheet1!$B$1:$B$13)),0)</f>
        <v>0</v>
      </c>
      <c r="AF134" s="6">
        <f t="shared" si="57"/>
        <v>0</v>
      </c>
      <c r="AG134" s="8"/>
      <c r="AH134" s="8">
        <f t="shared" si="58"/>
        <v>0</v>
      </c>
      <c r="AI134" s="8">
        <f t="shared" si="59"/>
        <v>0</v>
      </c>
      <c r="AJ134" s="8">
        <f t="shared" si="71"/>
        <v>0</v>
      </c>
      <c r="AK134" s="8">
        <f>IFERROR((AG134+AH134)*INDEX([1]Sheet1!$A$1:$A$13,MATCH((AG134+AH134),[1]Sheet1!$B$1:$B$13)),0)</f>
        <v>0</v>
      </c>
      <c r="AL134" s="6">
        <f t="shared" si="60"/>
        <v>0</v>
      </c>
      <c r="AM134" s="8"/>
      <c r="AN134" s="8">
        <f t="shared" si="61"/>
        <v>0</v>
      </c>
      <c r="AO134" s="8">
        <f t="shared" si="62"/>
        <v>0</v>
      </c>
      <c r="AP134" s="8">
        <f t="shared" si="72"/>
        <v>0</v>
      </c>
      <c r="AQ134" s="8">
        <f>IFERROR((AM134+AN134)*INDEX([1]Sheet1!$A$1:$A$13,MATCH((AM134+AN134),[1]Sheet1!$B$1:$B$13)),0)</f>
        <v>0</v>
      </c>
      <c r="AR134" s="6">
        <f t="shared" si="63"/>
        <v>0</v>
      </c>
      <c r="AS134" s="8"/>
      <c r="AT134" s="8">
        <f t="shared" si="64"/>
        <v>0</v>
      </c>
      <c r="AU134" s="8">
        <f t="shared" si="65"/>
        <v>0</v>
      </c>
      <c r="AV134" s="8">
        <f t="shared" si="73"/>
        <v>0</v>
      </c>
      <c r="AW134" s="8">
        <f>IFERROR((AS134+AT134)*INDEX([1]Sheet1!$A$1:$A$13,MATCH((AS134+AT134),[1]Sheet1!$B$1:$B$13)),0)</f>
        <v>0</v>
      </c>
      <c r="BC134" s="1" t="str">
        <f t="shared" si="66"/>
        <v/>
      </c>
    </row>
    <row r="135" spans="1:55" ht="18" customHeight="1" x14ac:dyDescent="0.2">
      <c r="A135" s="4"/>
      <c r="B135" s="6"/>
      <c r="C135" s="6"/>
      <c r="D135" s="6"/>
      <c r="E135" s="6"/>
      <c r="F135" s="4"/>
      <c r="G135" s="6"/>
      <c r="H135" s="6">
        <f t="shared" si="46"/>
        <v>0</v>
      </c>
      <c r="I135" s="8"/>
      <c r="J135" s="8"/>
      <c r="K135" s="8">
        <f t="shared" si="47"/>
        <v>0</v>
      </c>
      <c r="L135" s="8">
        <f t="shared" si="67"/>
        <v>0</v>
      </c>
      <c r="M135" s="8">
        <f>IFERROR((I135+J135)*INDEX([1]Sheet1!$A$1:$A$13,MATCH((I135+J135),[1]Sheet1!$B$1:$B$13)),0)</f>
        <v>0</v>
      </c>
      <c r="N135" s="6">
        <f t="shared" si="48"/>
        <v>0</v>
      </c>
      <c r="O135" s="8"/>
      <c r="P135" s="8">
        <f t="shared" si="49"/>
        <v>0</v>
      </c>
      <c r="Q135" s="8">
        <f t="shared" si="50"/>
        <v>0</v>
      </c>
      <c r="R135" s="8">
        <f t="shared" si="68"/>
        <v>0</v>
      </c>
      <c r="S135" s="8">
        <f>IFERROR((O135+P135)*INDEX([1]Sheet1!$A$1:$A$13,MATCH((O135+P135),[1]Sheet1!$B$1:$B$13)),0)</f>
        <v>0</v>
      </c>
      <c r="T135" s="6">
        <f t="shared" si="51"/>
        <v>0</v>
      </c>
      <c r="U135" s="8"/>
      <c r="V135" s="8">
        <f t="shared" si="52"/>
        <v>0</v>
      </c>
      <c r="W135" s="8">
        <f t="shared" si="53"/>
        <v>0</v>
      </c>
      <c r="X135" s="8">
        <f t="shared" si="69"/>
        <v>0</v>
      </c>
      <c r="Y135" s="8">
        <f>IFERROR((U135+V135)*INDEX([1]Sheet1!$A$1:$A$13,MATCH((U135+V135),[1]Sheet1!$B$1:$B$13)),0)</f>
        <v>0</v>
      </c>
      <c r="Z135" s="6">
        <f t="shared" si="54"/>
        <v>0</v>
      </c>
      <c r="AA135" s="8"/>
      <c r="AB135" s="8">
        <f t="shared" si="55"/>
        <v>0</v>
      </c>
      <c r="AC135" s="8">
        <f t="shared" si="56"/>
        <v>0</v>
      </c>
      <c r="AD135" s="8">
        <f t="shared" si="70"/>
        <v>0</v>
      </c>
      <c r="AE135" s="8">
        <f>IFERROR((AA135+AB135)*INDEX([1]Sheet1!$A$1:$A$13,MATCH((AA135+AB135),[1]Sheet1!$B$1:$B$13)),0)</f>
        <v>0</v>
      </c>
      <c r="AF135" s="6">
        <f t="shared" si="57"/>
        <v>0</v>
      </c>
      <c r="AG135" s="8"/>
      <c r="AH135" s="8">
        <f t="shared" si="58"/>
        <v>0</v>
      </c>
      <c r="AI135" s="8">
        <f t="shared" si="59"/>
        <v>0</v>
      </c>
      <c r="AJ135" s="8">
        <f t="shared" si="71"/>
        <v>0</v>
      </c>
      <c r="AK135" s="8">
        <f>IFERROR((AG135+AH135)*INDEX([1]Sheet1!$A$1:$A$13,MATCH((AG135+AH135),[1]Sheet1!$B$1:$B$13)),0)</f>
        <v>0</v>
      </c>
      <c r="AL135" s="6">
        <f t="shared" si="60"/>
        <v>0</v>
      </c>
      <c r="AM135" s="8"/>
      <c r="AN135" s="8">
        <f t="shared" si="61"/>
        <v>0</v>
      </c>
      <c r="AO135" s="8">
        <f t="shared" si="62"/>
        <v>0</v>
      </c>
      <c r="AP135" s="8">
        <f t="shared" si="72"/>
        <v>0</v>
      </c>
      <c r="AQ135" s="8">
        <f>IFERROR((AM135+AN135)*INDEX([1]Sheet1!$A$1:$A$13,MATCH((AM135+AN135),[1]Sheet1!$B$1:$B$13)),0)</f>
        <v>0</v>
      </c>
      <c r="AR135" s="6">
        <f t="shared" si="63"/>
        <v>0</v>
      </c>
      <c r="AS135" s="8"/>
      <c r="AT135" s="8">
        <f t="shared" si="64"/>
        <v>0</v>
      </c>
      <c r="AU135" s="8">
        <f t="shared" si="65"/>
        <v>0</v>
      </c>
      <c r="AV135" s="8">
        <f t="shared" si="73"/>
        <v>0</v>
      </c>
      <c r="AW135" s="8">
        <f>IFERROR((AS135+AT135)*INDEX([1]Sheet1!$A$1:$A$13,MATCH((AS135+AT135),[1]Sheet1!$B$1:$B$13)),0)</f>
        <v>0</v>
      </c>
      <c r="BC135" s="1" t="str">
        <f t="shared" si="66"/>
        <v/>
      </c>
    </row>
    <row r="136" spans="1:55" ht="18" customHeight="1" x14ac:dyDescent="0.2">
      <c r="A136" s="4"/>
      <c r="B136" s="5"/>
      <c r="C136" s="6"/>
      <c r="D136" s="6"/>
      <c r="E136" s="6"/>
      <c r="F136" s="4"/>
      <c r="G136" s="6"/>
      <c r="H136" s="6">
        <f t="shared" si="46"/>
        <v>0</v>
      </c>
      <c r="I136" s="8"/>
      <c r="J136" s="8"/>
      <c r="K136" s="8">
        <f t="shared" si="47"/>
        <v>0</v>
      </c>
      <c r="L136" s="8">
        <f t="shared" si="67"/>
        <v>0</v>
      </c>
      <c r="M136" s="8">
        <f>IFERROR((I136+J136)*INDEX([1]Sheet1!$A$1:$A$13,MATCH((I136+J136),[1]Sheet1!$B$1:$B$13)),0)</f>
        <v>0</v>
      </c>
      <c r="N136" s="6">
        <f t="shared" si="48"/>
        <v>0</v>
      </c>
      <c r="O136" s="8"/>
      <c r="P136" s="8">
        <f t="shared" si="49"/>
        <v>0</v>
      </c>
      <c r="Q136" s="8">
        <f t="shared" si="50"/>
        <v>0</v>
      </c>
      <c r="R136" s="8">
        <f t="shared" si="68"/>
        <v>0</v>
      </c>
      <c r="S136" s="8">
        <f>IFERROR((O136+P136)*INDEX([1]Sheet1!$A$1:$A$13,MATCH((O136+P136),[1]Sheet1!$B$1:$B$13)),0)</f>
        <v>0</v>
      </c>
      <c r="T136" s="6">
        <f t="shared" si="51"/>
        <v>0</v>
      </c>
      <c r="U136" s="8"/>
      <c r="V136" s="8">
        <f t="shared" si="52"/>
        <v>0</v>
      </c>
      <c r="W136" s="8">
        <f t="shared" si="53"/>
        <v>0</v>
      </c>
      <c r="X136" s="8">
        <f t="shared" si="69"/>
        <v>0</v>
      </c>
      <c r="Y136" s="8">
        <f>IFERROR((U136+V136)*INDEX([1]Sheet1!$A$1:$A$13,MATCH((U136+V136),[1]Sheet1!$B$1:$B$13)),0)</f>
        <v>0</v>
      </c>
      <c r="Z136" s="6">
        <f t="shared" si="54"/>
        <v>0</v>
      </c>
      <c r="AA136" s="8"/>
      <c r="AB136" s="8">
        <f t="shared" si="55"/>
        <v>0</v>
      </c>
      <c r="AC136" s="8">
        <f t="shared" si="56"/>
        <v>0</v>
      </c>
      <c r="AD136" s="8">
        <f t="shared" si="70"/>
        <v>0</v>
      </c>
      <c r="AE136" s="8">
        <f>IFERROR((AA136+AB136)*INDEX([1]Sheet1!$A$1:$A$13,MATCH((AA136+AB136),[1]Sheet1!$B$1:$B$13)),0)</f>
        <v>0</v>
      </c>
      <c r="AF136" s="6">
        <f t="shared" si="57"/>
        <v>0</v>
      </c>
      <c r="AG136" s="8"/>
      <c r="AH136" s="8">
        <f t="shared" si="58"/>
        <v>0</v>
      </c>
      <c r="AI136" s="8">
        <f t="shared" si="59"/>
        <v>0</v>
      </c>
      <c r="AJ136" s="8">
        <f t="shared" si="71"/>
        <v>0</v>
      </c>
      <c r="AK136" s="8">
        <f>IFERROR((AG136+AH136)*INDEX([1]Sheet1!$A$1:$A$13,MATCH((AG136+AH136),[1]Sheet1!$B$1:$B$13)),0)</f>
        <v>0</v>
      </c>
      <c r="AL136" s="6">
        <f t="shared" si="60"/>
        <v>0</v>
      </c>
      <c r="AM136" s="8"/>
      <c r="AN136" s="8">
        <f t="shared" si="61"/>
        <v>0</v>
      </c>
      <c r="AO136" s="8">
        <f t="shared" si="62"/>
        <v>0</v>
      </c>
      <c r="AP136" s="8">
        <f t="shared" si="72"/>
        <v>0</v>
      </c>
      <c r="AQ136" s="8">
        <f>IFERROR((AM136+AN136)*INDEX([1]Sheet1!$A$1:$A$13,MATCH((AM136+AN136),[1]Sheet1!$B$1:$B$13)),0)</f>
        <v>0</v>
      </c>
      <c r="AR136" s="6">
        <f t="shared" si="63"/>
        <v>0</v>
      </c>
      <c r="AS136" s="8"/>
      <c r="AT136" s="8">
        <f t="shared" si="64"/>
        <v>0</v>
      </c>
      <c r="AU136" s="8">
        <f t="shared" si="65"/>
        <v>0</v>
      </c>
      <c r="AV136" s="8">
        <f t="shared" si="73"/>
        <v>0</v>
      </c>
      <c r="AW136" s="8">
        <f>IFERROR((AS136+AT136)*INDEX([1]Sheet1!$A$1:$A$13,MATCH((AS136+AT136),[1]Sheet1!$B$1:$B$13)),0)</f>
        <v>0</v>
      </c>
      <c r="BC136" s="1" t="str">
        <f t="shared" si="66"/>
        <v/>
      </c>
    </row>
    <row r="137" spans="1:55" ht="18" customHeight="1" x14ac:dyDescent="0.2">
      <c r="A137" s="4"/>
      <c r="B137" s="6"/>
      <c r="C137" s="6"/>
      <c r="D137" s="6"/>
      <c r="E137" s="6"/>
      <c r="F137" s="4"/>
      <c r="G137" s="6"/>
      <c r="H137" s="6">
        <f t="shared" si="46"/>
        <v>0</v>
      </c>
      <c r="I137" s="8"/>
      <c r="J137" s="8"/>
      <c r="K137" s="8">
        <f t="shared" si="47"/>
        <v>0</v>
      </c>
      <c r="L137" s="8">
        <f t="shared" si="67"/>
        <v>0</v>
      </c>
      <c r="M137" s="8">
        <f>IFERROR((I137+J137)*INDEX([1]Sheet1!$A$1:$A$13,MATCH((I137+J137),[1]Sheet1!$B$1:$B$13)),0)</f>
        <v>0</v>
      </c>
      <c r="N137" s="6">
        <f t="shared" si="48"/>
        <v>0</v>
      </c>
      <c r="O137" s="8"/>
      <c r="P137" s="8">
        <f t="shared" si="49"/>
        <v>0</v>
      </c>
      <c r="Q137" s="8">
        <f t="shared" si="50"/>
        <v>0</v>
      </c>
      <c r="R137" s="8">
        <f t="shared" si="68"/>
        <v>0</v>
      </c>
      <c r="S137" s="8">
        <f>IFERROR((O137+P137)*INDEX([1]Sheet1!$A$1:$A$13,MATCH((O137+P137),[1]Sheet1!$B$1:$B$13)),0)</f>
        <v>0</v>
      </c>
      <c r="T137" s="6">
        <f t="shared" si="51"/>
        <v>0</v>
      </c>
      <c r="U137" s="8"/>
      <c r="V137" s="8">
        <f t="shared" si="52"/>
        <v>0</v>
      </c>
      <c r="W137" s="8">
        <f t="shared" si="53"/>
        <v>0</v>
      </c>
      <c r="X137" s="8">
        <f t="shared" si="69"/>
        <v>0</v>
      </c>
      <c r="Y137" s="8">
        <f>IFERROR((U137+V137)*INDEX([1]Sheet1!$A$1:$A$13,MATCH((U137+V137),[1]Sheet1!$B$1:$B$13)),0)</f>
        <v>0</v>
      </c>
      <c r="Z137" s="6">
        <f t="shared" si="54"/>
        <v>0</v>
      </c>
      <c r="AA137" s="8"/>
      <c r="AB137" s="8">
        <f t="shared" si="55"/>
        <v>0</v>
      </c>
      <c r="AC137" s="8">
        <f t="shared" si="56"/>
        <v>0</v>
      </c>
      <c r="AD137" s="8">
        <f t="shared" si="70"/>
        <v>0</v>
      </c>
      <c r="AE137" s="8">
        <f>IFERROR((AA137+AB137)*INDEX([1]Sheet1!$A$1:$A$13,MATCH((AA137+AB137),[1]Sheet1!$B$1:$B$13)),0)</f>
        <v>0</v>
      </c>
      <c r="AF137" s="6">
        <f t="shared" si="57"/>
        <v>0</v>
      </c>
      <c r="AG137" s="8"/>
      <c r="AH137" s="8">
        <f t="shared" si="58"/>
        <v>0</v>
      </c>
      <c r="AI137" s="8">
        <f t="shared" si="59"/>
        <v>0</v>
      </c>
      <c r="AJ137" s="8">
        <f t="shared" si="71"/>
        <v>0</v>
      </c>
      <c r="AK137" s="8">
        <f>IFERROR((AG137+AH137)*INDEX([1]Sheet1!$A$1:$A$13,MATCH((AG137+AH137),[1]Sheet1!$B$1:$B$13)),0)</f>
        <v>0</v>
      </c>
      <c r="AL137" s="6">
        <f t="shared" si="60"/>
        <v>0</v>
      </c>
      <c r="AM137" s="8"/>
      <c r="AN137" s="8">
        <f t="shared" si="61"/>
        <v>0</v>
      </c>
      <c r="AO137" s="8">
        <f t="shared" si="62"/>
        <v>0</v>
      </c>
      <c r="AP137" s="8">
        <f t="shared" si="72"/>
        <v>0</v>
      </c>
      <c r="AQ137" s="8">
        <f>IFERROR((AM137+AN137)*INDEX([1]Sheet1!$A$1:$A$13,MATCH((AM137+AN137),[1]Sheet1!$B$1:$B$13)),0)</f>
        <v>0</v>
      </c>
      <c r="AR137" s="6">
        <f t="shared" si="63"/>
        <v>0</v>
      </c>
      <c r="AS137" s="8"/>
      <c r="AT137" s="8">
        <f t="shared" si="64"/>
        <v>0</v>
      </c>
      <c r="AU137" s="8">
        <f t="shared" si="65"/>
        <v>0</v>
      </c>
      <c r="AV137" s="8">
        <f t="shared" si="73"/>
        <v>0</v>
      </c>
      <c r="AW137" s="8">
        <f>IFERROR((AS137+AT137)*INDEX([1]Sheet1!$A$1:$A$13,MATCH((AS137+AT137),[1]Sheet1!$B$1:$B$13)),0)</f>
        <v>0</v>
      </c>
      <c r="BC137" s="1" t="str">
        <f t="shared" si="66"/>
        <v/>
      </c>
    </row>
    <row r="138" spans="1:55" ht="18" customHeight="1" x14ac:dyDescent="0.2">
      <c r="A138" s="4"/>
      <c r="B138" s="6"/>
      <c r="C138" s="6"/>
      <c r="D138" s="6"/>
      <c r="E138" s="6"/>
      <c r="F138" s="4"/>
      <c r="G138" s="7"/>
      <c r="H138" s="6">
        <f t="shared" si="46"/>
        <v>0</v>
      </c>
      <c r="I138" s="8"/>
      <c r="J138" s="8"/>
      <c r="K138" s="8">
        <f t="shared" si="47"/>
        <v>0</v>
      </c>
      <c r="L138" s="8">
        <f t="shared" si="67"/>
        <v>0</v>
      </c>
      <c r="M138" s="8">
        <f>IFERROR((I138+J138)*INDEX([1]Sheet1!$A$1:$A$13,MATCH((I138+J138),[1]Sheet1!$B$1:$B$13)),0)</f>
        <v>0</v>
      </c>
      <c r="N138" s="6">
        <f t="shared" si="48"/>
        <v>0</v>
      </c>
      <c r="O138" s="8"/>
      <c r="P138" s="8">
        <f t="shared" si="49"/>
        <v>0</v>
      </c>
      <c r="Q138" s="8">
        <f t="shared" si="50"/>
        <v>0</v>
      </c>
      <c r="R138" s="8">
        <f t="shared" si="68"/>
        <v>0</v>
      </c>
      <c r="S138" s="8">
        <f>IFERROR((O138+P138)*INDEX([1]Sheet1!$A$1:$A$13,MATCH((O138+P138),[1]Sheet1!$B$1:$B$13)),0)</f>
        <v>0</v>
      </c>
      <c r="T138" s="6">
        <f t="shared" si="51"/>
        <v>0</v>
      </c>
      <c r="U138" s="8"/>
      <c r="V138" s="8">
        <f t="shared" si="52"/>
        <v>0</v>
      </c>
      <c r="W138" s="8">
        <f t="shared" si="53"/>
        <v>0</v>
      </c>
      <c r="X138" s="8">
        <f t="shared" si="69"/>
        <v>0</v>
      </c>
      <c r="Y138" s="8">
        <f>IFERROR((U138+V138)*INDEX([1]Sheet1!$A$1:$A$13,MATCH((U138+V138),[1]Sheet1!$B$1:$B$13)),0)</f>
        <v>0</v>
      </c>
      <c r="Z138" s="6">
        <f t="shared" si="54"/>
        <v>0</v>
      </c>
      <c r="AA138" s="8"/>
      <c r="AB138" s="8">
        <f t="shared" si="55"/>
        <v>0</v>
      </c>
      <c r="AC138" s="8">
        <f t="shared" si="56"/>
        <v>0</v>
      </c>
      <c r="AD138" s="8">
        <f t="shared" si="70"/>
        <v>0</v>
      </c>
      <c r="AE138" s="8">
        <f>IFERROR((AA138+AB138)*INDEX([1]Sheet1!$A$1:$A$13,MATCH((AA138+AB138),[1]Sheet1!$B$1:$B$13)),0)</f>
        <v>0</v>
      </c>
      <c r="AF138" s="6">
        <f t="shared" si="57"/>
        <v>0</v>
      </c>
      <c r="AG138" s="8"/>
      <c r="AH138" s="8">
        <f t="shared" si="58"/>
        <v>0</v>
      </c>
      <c r="AI138" s="8">
        <f t="shared" si="59"/>
        <v>0</v>
      </c>
      <c r="AJ138" s="8">
        <f t="shared" si="71"/>
        <v>0</v>
      </c>
      <c r="AK138" s="8">
        <f>IFERROR((AG138+AH138)*INDEX([1]Sheet1!$A$1:$A$13,MATCH((AG138+AH138),[1]Sheet1!$B$1:$B$13)),0)</f>
        <v>0</v>
      </c>
      <c r="AL138" s="6">
        <f t="shared" si="60"/>
        <v>0</v>
      </c>
      <c r="AM138" s="8"/>
      <c r="AN138" s="8">
        <f t="shared" si="61"/>
        <v>0</v>
      </c>
      <c r="AO138" s="8">
        <f t="shared" si="62"/>
        <v>0</v>
      </c>
      <c r="AP138" s="8">
        <f t="shared" si="72"/>
        <v>0</v>
      </c>
      <c r="AQ138" s="8">
        <f>IFERROR((AM138+AN138)*INDEX([1]Sheet1!$A$1:$A$13,MATCH((AM138+AN138),[1]Sheet1!$B$1:$B$13)),0)</f>
        <v>0</v>
      </c>
      <c r="AR138" s="6">
        <f t="shared" si="63"/>
        <v>0</v>
      </c>
      <c r="AS138" s="8"/>
      <c r="AT138" s="8">
        <f t="shared" si="64"/>
        <v>0</v>
      </c>
      <c r="AU138" s="8">
        <f t="shared" si="65"/>
        <v>0</v>
      </c>
      <c r="AV138" s="8">
        <f t="shared" si="73"/>
        <v>0</v>
      </c>
      <c r="AW138" s="8">
        <f>IFERROR((AS138+AT138)*INDEX([1]Sheet1!$A$1:$A$13,MATCH((AS138+AT138),[1]Sheet1!$B$1:$B$13)),0)</f>
        <v>0</v>
      </c>
      <c r="BC138" s="1" t="str">
        <f t="shared" si="66"/>
        <v/>
      </c>
    </row>
    <row r="139" spans="1:55" ht="18" customHeight="1" x14ac:dyDescent="0.2">
      <c r="A139" s="4"/>
      <c r="B139" s="6"/>
      <c r="C139" s="6"/>
      <c r="D139" s="6"/>
      <c r="E139" s="6"/>
      <c r="F139" s="4"/>
      <c r="G139" s="7"/>
      <c r="H139" s="6">
        <f t="shared" si="46"/>
        <v>0</v>
      </c>
      <c r="I139" s="8"/>
      <c r="J139" s="8"/>
      <c r="K139" s="8">
        <f t="shared" si="47"/>
        <v>0</v>
      </c>
      <c r="L139" s="8">
        <f t="shared" si="67"/>
        <v>0</v>
      </c>
      <c r="M139" s="8">
        <f>IFERROR((I139+J139)*INDEX([1]Sheet1!$A$1:$A$13,MATCH((I139+J139),[1]Sheet1!$B$1:$B$13)),0)</f>
        <v>0</v>
      </c>
      <c r="N139" s="6">
        <f t="shared" si="48"/>
        <v>0</v>
      </c>
      <c r="O139" s="8"/>
      <c r="P139" s="8">
        <f t="shared" si="49"/>
        <v>0</v>
      </c>
      <c r="Q139" s="8">
        <f t="shared" si="50"/>
        <v>0</v>
      </c>
      <c r="R139" s="8">
        <f t="shared" si="68"/>
        <v>0</v>
      </c>
      <c r="S139" s="8">
        <f>IFERROR((O139+P139)*INDEX([1]Sheet1!$A$1:$A$13,MATCH((O139+P139),[1]Sheet1!$B$1:$B$13)),0)</f>
        <v>0</v>
      </c>
      <c r="T139" s="6">
        <f t="shared" si="51"/>
        <v>0</v>
      </c>
      <c r="U139" s="8"/>
      <c r="V139" s="8">
        <f t="shared" si="52"/>
        <v>0</v>
      </c>
      <c r="W139" s="8">
        <f t="shared" si="53"/>
        <v>0</v>
      </c>
      <c r="X139" s="8">
        <f t="shared" si="69"/>
        <v>0</v>
      </c>
      <c r="Y139" s="8">
        <f>IFERROR((U139+V139)*INDEX([1]Sheet1!$A$1:$A$13,MATCH((U139+V139),[1]Sheet1!$B$1:$B$13)),0)</f>
        <v>0</v>
      </c>
      <c r="Z139" s="6">
        <f t="shared" si="54"/>
        <v>0</v>
      </c>
      <c r="AA139" s="8"/>
      <c r="AB139" s="8">
        <f t="shared" si="55"/>
        <v>0</v>
      </c>
      <c r="AC139" s="8">
        <f t="shared" si="56"/>
        <v>0</v>
      </c>
      <c r="AD139" s="8">
        <f t="shared" si="70"/>
        <v>0</v>
      </c>
      <c r="AE139" s="8">
        <f>IFERROR((AA139+AB139)*INDEX([1]Sheet1!$A$1:$A$13,MATCH((AA139+AB139),[1]Sheet1!$B$1:$B$13)),0)</f>
        <v>0</v>
      </c>
      <c r="AF139" s="6">
        <f t="shared" si="57"/>
        <v>0</v>
      </c>
      <c r="AG139" s="8"/>
      <c r="AH139" s="8">
        <f t="shared" si="58"/>
        <v>0</v>
      </c>
      <c r="AI139" s="8">
        <f t="shared" si="59"/>
        <v>0</v>
      </c>
      <c r="AJ139" s="8">
        <f t="shared" si="71"/>
        <v>0</v>
      </c>
      <c r="AK139" s="8">
        <f>IFERROR((AG139+AH139)*INDEX([1]Sheet1!$A$1:$A$13,MATCH((AG139+AH139),[1]Sheet1!$B$1:$B$13)),0)</f>
        <v>0</v>
      </c>
      <c r="AL139" s="6">
        <f t="shared" si="60"/>
        <v>0</v>
      </c>
      <c r="AM139" s="8"/>
      <c r="AN139" s="8">
        <f t="shared" si="61"/>
        <v>0</v>
      </c>
      <c r="AO139" s="8">
        <f t="shared" si="62"/>
        <v>0</v>
      </c>
      <c r="AP139" s="8">
        <f t="shared" si="72"/>
        <v>0</v>
      </c>
      <c r="AQ139" s="8">
        <f>IFERROR((AM139+AN139)*INDEX([1]Sheet1!$A$1:$A$13,MATCH((AM139+AN139),[1]Sheet1!$B$1:$B$13)),0)</f>
        <v>0</v>
      </c>
      <c r="AR139" s="6">
        <f t="shared" si="63"/>
        <v>0</v>
      </c>
      <c r="AS139" s="8"/>
      <c r="AT139" s="8">
        <f t="shared" si="64"/>
        <v>0</v>
      </c>
      <c r="AU139" s="8">
        <f t="shared" si="65"/>
        <v>0</v>
      </c>
      <c r="AV139" s="8">
        <f t="shared" si="73"/>
        <v>0</v>
      </c>
      <c r="AW139" s="8">
        <f>IFERROR((AS139+AT139)*INDEX([1]Sheet1!$A$1:$A$13,MATCH((AS139+AT139),[1]Sheet1!$B$1:$B$13)),0)</f>
        <v>0</v>
      </c>
      <c r="BC139" s="1" t="str">
        <f t="shared" si="66"/>
        <v/>
      </c>
    </row>
    <row r="140" spans="1:55" ht="18" customHeight="1" x14ac:dyDescent="0.2">
      <c r="A140" s="4"/>
      <c r="B140" s="6"/>
      <c r="C140" s="6"/>
      <c r="D140" s="6"/>
      <c r="E140" s="6"/>
      <c r="F140" s="4"/>
      <c r="G140" s="7"/>
      <c r="H140" s="6">
        <f t="shared" si="46"/>
        <v>0</v>
      </c>
      <c r="I140" s="8"/>
      <c r="J140" s="8"/>
      <c r="K140" s="8">
        <f t="shared" si="47"/>
        <v>0</v>
      </c>
      <c r="L140" s="8">
        <f t="shared" si="67"/>
        <v>0</v>
      </c>
      <c r="M140" s="8">
        <f>IFERROR((I140+J140)*INDEX([1]Sheet1!$A$1:$A$13,MATCH((I140+J140),[1]Sheet1!$B$1:$B$13)),0)</f>
        <v>0</v>
      </c>
      <c r="N140" s="6">
        <f t="shared" si="48"/>
        <v>0</v>
      </c>
      <c r="O140" s="8"/>
      <c r="P140" s="8">
        <f t="shared" si="49"/>
        <v>0</v>
      </c>
      <c r="Q140" s="8">
        <f t="shared" si="50"/>
        <v>0</v>
      </c>
      <c r="R140" s="8">
        <f t="shared" si="68"/>
        <v>0</v>
      </c>
      <c r="S140" s="8">
        <f>IFERROR((O140+P140)*INDEX([1]Sheet1!$A$1:$A$13,MATCH((O140+P140),[1]Sheet1!$B$1:$B$13)),0)</f>
        <v>0</v>
      </c>
      <c r="T140" s="6">
        <f t="shared" si="51"/>
        <v>0</v>
      </c>
      <c r="U140" s="8"/>
      <c r="V140" s="8">
        <f t="shared" si="52"/>
        <v>0</v>
      </c>
      <c r="W140" s="8">
        <f t="shared" si="53"/>
        <v>0</v>
      </c>
      <c r="X140" s="8">
        <f t="shared" si="69"/>
        <v>0</v>
      </c>
      <c r="Y140" s="8">
        <f>IFERROR((U140+V140)*INDEX([1]Sheet1!$A$1:$A$13,MATCH((U140+V140),[1]Sheet1!$B$1:$B$13)),0)</f>
        <v>0</v>
      </c>
      <c r="Z140" s="6">
        <f t="shared" si="54"/>
        <v>0</v>
      </c>
      <c r="AA140" s="8"/>
      <c r="AB140" s="8">
        <f t="shared" si="55"/>
        <v>0</v>
      </c>
      <c r="AC140" s="8">
        <f t="shared" si="56"/>
        <v>0</v>
      </c>
      <c r="AD140" s="8">
        <f t="shared" si="70"/>
        <v>0</v>
      </c>
      <c r="AE140" s="8">
        <f>IFERROR((AA140+AB140)*INDEX([1]Sheet1!$A$1:$A$13,MATCH((AA140+AB140),[1]Sheet1!$B$1:$B$13)),0)</f>
        <v>0</v>
      </c>
      <c r="AF140" s="6">
        <f t="shared" si="57"/>
        <v>0</v>
      </c>
      <c r="AG140" s="8"/>
      <c r="AH140" s="8">
        <f t="shared" si="58"/>
        <v>0</v>
      </c>
      <c r="AI140" s="8">
        <f t="shared" si="59"/>
        <v>0</v>
      </c>
      <c r="AJ140" s="8">
        <f t="shared" si="71"/>
        <v>0</v>
      </c>
      <c r="AK140" s="8">
        <f>IFERROR((AG140+AH140)*INDEX([1]Sheet1!$A$1:$A$13,MATCH((AG140+AH140),[1]Sheet1!$B$1:$B$13)),0)</f>
        <v>0</v>
      </c>
      <c r="AL140" s="6">
        <f t="shared" si="60"/>
        <v>0</v>
      </c>
      <c r="AM140" s="8"/>
      <c r="AN140" s="8">
        <f t="shared" si="61"/>
        <v>0</v>
      </c>
      <c r="AO140" s="8">
        <f t="shared" si="62"/>
        <v>0</v>
      </c>
      <c r="AP140" s="8">
        <f t="shared" si="72"/>
        <v>0</v>
      </c>
      <c r="AQ140" s="8">
        <f>IFERROR((AM140+AN140)*INDEX([1]Sheet1!$A$1:$A$13,MATCH((AM140+AN140),[1]Sheet1!$B$1:$B$13)),0)</f>
        <v>0</v>
      </c>
      <c r="AR140" s="6">
        <f t="shared" si="63"/>
        <v>0</v>
      </c>
      <c r="AS140" s="8"/>
      <c r="AT140" s="8">
        <f t="shared" si="64"/>
        <v>0</v>
      </c>
      <c r="AU140" s="8">
        <f t="shared" si="65"/>
        <v>0</v>
      </c>
      <c r="AV140" s="8">
        <f t="shared" si="73"/>
        <v>0</v>
      </c>
      <c r="AW140" s="8">
        <f>IFERROR((AS140+AT140)*INDEX([1]Sheet1!$A$1:$A$13,MATCH((AS140+AT140),[1]Sheet1!$B$1:$B$13)),0)</f>
        <v>0</v>
      </c>
      <c r="BC140" s="1" t="str">
        <f t="shared" si="66"/>
        <v/>
      </c>
    </row>
    <row r="141" spans="1:55" ht="18" customHeight="1" x14ac:dyDescent="0.2">
      <c r="A141" s="4"/>
      <c r="B141" s="9"/>
      <c r="C141" s="6"/>
      <c r="D141" s="6"/>
      <c r="E141" s="6"/>
      <c r="F141" s="4"/>
      <c r="G141" s="7"/>
      <c r="H141" s="6">
        <f t="shared" si="46"/>
        <v>0</v>
      </c>
      <c r="I141" s="8"/>
      <c r="J141" s="8"/>
      <c r="K141" s="8">
        <f t="shared" si="47"/>
        <v>0</v>
      </c>
      <c r="L141" s="8">
        <f t="shared" si="67"/>
        <v>0</v>
      </c>
      <c r="M141" s="8">
        <f>IFERROR((I141+J141)*INDEX([1]Sheet1!$A$1:$A$13,MATCH((I141+J141),[1]Sheet1!$B$1:$B$13)),0)</f>
        <v>0</v>
      </c>
      <c r="N141" s="6">
        <f t="shared" si="48"/>
        <v>0</v>
      </c>
      <c r="O141" s="8"/>
      <c r="P141" s="8">
        <f t="shared" si="49"/>
        <v>0</v>
      </c>
      <c r="Q141" s="8">
        <f t="shared" si="50"/>
        <v>0</v>
      </c>
      <c r="R141" s="8">
        <f t="shared" si="68"/>
        <v>0</v>
      </c>
      <c r="S141" s="8">
        <f>IFERROR((O141+P141)*INDEX([1]Sheet1!$A$1:$A$13,MATCH((O141+P141),[1]Sheet1!$B$1:$B$13)),0)</f>
        <v>0</v>
      </c>
      <c r="T141" s="6">
        <f t="shared" si="51"/>
        <v>0</v>
      </c>
      <c r="U141" s="8"/>
      <c r="V141" s="8">
        <f t="shared" si="52"/>
        <v>0</v>
      </c>
      <c r="W141" s="8">
        <f t="shared" si="53"/>
        <v>0</v>
      </c>
      <c r="X141" s="8">
        <f t="shared" si="69"/>
        <v>0</v>
      </c>
      <c r="Y141" s="8">
        <f>IFERROR((U141+V141)*INDEX([1]Sheet1!$A$1:$A$13,MATCH((U141+V141),[1]Sheet1!$B$1:$B$13)),0)</f>
        <v>0</v>
      </c>
      <c r="Z141" s="6">
        <f t="shared" si="54"/>
        <v>0</v>
      </c>
      <c r="AA141" s="8"/>
      <c r="AB141" s="8">
        <f t="shared" si="55"/>
        <v>0</v>
      </c>
      <c r="AC141" s="8">
        <f t="shared" si="56"/>
        <v>0</v>
      </c>
      <c r="AD141" s="8">
        <f t="shared" si="70"/>
        <v>0</v>
      </c>
      <c r="AE141" s="8">
        <f>IFERROR((AA141+AB141)*INDEX([1]Sheet1!$A$1:$A$13,MATCH((AA141+AB141),[1]Sheet1!$B$1:$B$13)),0)</f>
        <v>0</v>
      </c>
      <c r="AF141" s="6">
        <f t="shared" si="57"/>
        <v>0</v>
      </c>
      <c r="AG141" s="8"/>
      <c r="AH141" s="8">
        <f t="shared" si="58"/>
        <v>0</v>
      </c>
      <c r="AI141" s="8">
        <f t="shared" si="59"/>
        <v>0</v>
      </c>
      <c r="AJ141" s="8">
        <f t="shared" si="71"/>
        <v>0</v>
      </c>
      <c r="AK141" s="8">
        <f>IFERROR((AG141+AH141)*INDEX([1]Sheet1!$A$1:$A$13,MATCH((AG141+AH141),[1]Sheet1!$B$1:$B$13)),0)</f>
        <v>0</v>
      </c>
      <c r="AL141" s="6">
        <f t="shared" si="60"/>
        <v>0</v>
      </c>
      <c r="AM141" s="8"/>
      <c r="AN141" s="8">
        <f t="shared" si="61"/>
        <v>0</v>
      </c>
      <c r="AO141" s="8">
        <f t="shared" si="62"/>
        <v>0</v>
      </c>
      <c r="AP141" s="8">
        <f t="shared" si="72"/>
        <v>0</v>
      </c>
      <c r="AQ141" s="8">
        <f>IFERROR((AM141+AN141)*INDEX([1]Sheet1!$A$1:$A$13,MATCH((AM141+AN141),[1]Sheet1!$B$1:$B$13)),0)</f>
        <v>0</v>
      </c>
      <c r="AR141" s="6">
        <f t="shared" si="63"/>
        <v>0</v>
      </c>
      <c r="AS141" s="8"/>
      <c r="AT141" s="8">
        <f t="shared" si="64"/>
        <v>0</v>
      </c>
      <c r="AU141" s="8">
        <f t="shared" si="65"/>
        <v>0</v>
      </c>
      <c r="AV141" s="8">
        <f t="shared" si="73"/>
        <v>0</v>
      </c>
      <c r="AW141" s="8">
        <f>IFERROR((AS141+AT141)*INDEX([1]Sheet1!$A$1:$A$13,MATCH((AS141+AT141),[1]Sheet1!$B$1:$B$13)),0)</f>
        <v>0</v>
      </c>
      <c r="BC141" s="1" t="str">
        <f t="shared" si="66"/>
        <v/>
      </c>
    </row>
    <row r="142" spans="1:55" ht="18" customHeight="1" x14ac:dyDescent="0.2">
      <c r="A142" s="4"/>
      <c r="B142" s="6"/>
      <c r="C142" s="6"/>
      <c r="D142" s="6"/>
      <c r="E142" s="6"/>
      <c r="F142" s="4"/>
      <c r="G142" s="7"/>
      <c r="H142" s="6">
        <f t="shared" si="46"/>
        <v>0</v>
      </c>
      <c r="I142" s="8"/>
      <c r="J142" s="8"/>
      <c r="K142" s="8">
        <f t="shared" si="47"/>
        <v>0</v>
      </c>
      <c r="L142" s="8">
        <f t="shared" si="67"/>
        <v>0</v>
      </c>
      <c r="M142" s="8">
        <f>IFERROR((I142+J142)*INDEX([1]Sheet1!$A$1:$A$13,MATCH((I142+J142),[1]Sheet1!$B$1:$B$13)),0)</f>
        <v>0</v>
      </c>
      <c r="N142" s="6">
        <f t="shared" si="48"/>
        <v>0</v>
      </c>
      <c r="O142" s="8"/>
      <c r="P142" s="8">
        <f t="shared" si="49"/>
        <v>0</v>
      </c>
      <c r="Q142" s="8">
        <f t="shared" si="50"/>
        <v>0</v>
      </c>
      <c r="R142" s="8">
        <f t="shared" si="68"/>
        <v>0</v>
      </c>
      <c r="S142" s="8">
        <f>IFERROR((O142+P142)*INDEX([1]Sheet1!$A$1:$A$13,MATCH((O142+P142),[1]Sheet1!$B$1:$B$13)),0)</f>
        <v>0</v>
      </c>
      <c r="T142" s="6">
        <f t="shared" si="51"/>
        <v>0</v>
      </c>
      <c r="U142" s="8"/>
      <c r="V142" s="8">
        <f t="shared" si="52"/>
        <v>0</v>
      </c>
      <c r="W142" s="8">
        <f t="shared" si="53"/>
        <v>0</v>
      </c>
      <c r="X142" s="8">
        <f t="shared" si="69"/>
        <v>0</v>
      </c>
      <c r="Y142" s="8">
        <f>IFERROR((U142+V142)*INDEX([1]Sheet1!$A$1:$A$13,MATCH((U142+V142),[1]Sheet1!$B$1:$B$13)),0)</f>
        <v>0</v>
      </c>
      <c r="Z142" s="6">
        <f t="shared" si="54"/>
        <v>0</v>
      </c>
      <c r="AA142" s="8"/>
      <c r="AB142" s="8">
        <f t="shared" si="55"/>
        <v>0</v>
      </c>
      <c r="AC142" s="8">
        <f t="shared" si="56"/>
        <v>0</v>
      </c>
      <c r="AD142" s="8">
        <f t="shared" si="70"/>
        <v>0</v>
      </c>
      <c r="AE142" s="8">
        <f>IFERROR((AA142+AB142)*INDEX([1]Sheet1!$A$1:$A$13,MATCH((AA142+AB142),[1]Sheet1!$B$1:$B$13)),0)</f>
        <v>0</v>
      </c>
      <c r="AF142" s="6">
        <f t="shared" si="57"/>
        <v>0</v>
      </c>
      <c r="AG142" s="8"/>
      <c r="AH142" s="8">
        <f t="shared" si="58"/>
        <v>0</v>
      </c>
      <c r="AI142" s="8">
        <f t="shared" si="59"/>
        <v>0</v>
      </c>
      <c r="AJ142" s="8">
        <f t="shared" si="71"/>
        <v>0</v>
      </c>
      <c r="AK142" s="8">
        <f>IFERROR((AG142+AH142)*INDEX([1]Sheet1!$A$1:$A$13,MATCH((AG142+AH142),[1]Sheet1!$B$1:$B$13)),0)</f>
        <v>0</v>
      </c>
      <c r="AL142" s="6">
        <f t="shared" si="60"/>
        <v>0</v>
      </c>
      <c r="AM142" s="8"/>
      <c r="AN142" s="8">
        <f t="shared" si="61"/>
        <v>0</v>
      </c>
      <c r="AO142" s="8">
        <f t="shared" si="62"/>
        <v>0</v>
      </c>
      <c r="AP142" s="8">
        <f t="shared" si="72"/>
        <v>0</v>
      </c>
      <c r="AQ142" s="8">
        <f>IFERROR((AM142+AN142)*INDEX([1]Sheet1!$A$1:$A$13,MATCH((AM142+AN142),[1]Sheet1!$B$1:$B$13)),0)</f>
        <v>0</v>
      </c>
      <c r="AR142" s="6">
        <f t="shared" si="63"/>
        <v>0</v>
      </c>
      <c r="AS142" s="8"/>
      <c r="AT142" s="8">
        <f t="shared" si="64"/>
        <v>0</v>
      </c>
      <c r="AU142" s="8">
        <f t="shared" si="65"/>
        <v>0</v>
      </c>
      <c r="AV142" s="8">
        <f t="shared" si="73"/>
        <v>0</v>
      </c>
      <c r="AW142" s="8">
        <f>IFERROR((AS142+AT142)*INDEX([1]Sheet1!$A$1:$A$13,MATCH((AS142+AT142),[1]Sheet1!$B$1:$B$13)),0)</f>
        <v>0</v>
      </c>
      <c r="BC142" s="1" t="str">
        <f t="shared" si="66"/>
        <v/>
      </c>
    </row>
    <row r="143" spans="1:55" ht="18" customHeight="1" x14ac:dyDescent="0.2">
      <c r="A143" s="4"/>
      <c r="B143" s="9"/>
      <c r="C143" s="6"/>
      <c r="D143" s="6"/>
      <c r="E143" s="6"/>
      <c r="F143" s="4"/>
      <c r="G143" s="7"/>
      <c r="H143" s="6">
        <f t="shared" si="46"/>
        <v>0</v>
      </c>
      <c r="I143" s="8"/>
      <c r="J143" s="8"/>
      <c r="K143" s="8">
        <f t="shared" si="47"/>
        <v>0</v>
      </c>
      <c r="L143" s="8">
        <f t="shared" si="67"/>
        <v>0</v>
      </c>
      <c r="M143" s="8">
        <f>IFERROR((I143+J143)*INDEX([1]Sheet1!$A$1:$A$13,MATCH((I143+J143),[1]Sheet1!$B$1:$B$13)),0)</f>
        <v>0</v>
      </c>
      <c r="N143" s="6">
        <f t="shared" si="48"/>
        <v>0</v>
      </c>
      <c r="O143" s="8"/>
      <c r="P143" s="8">
        <f t="shared" si="49"/>
        <v>0</v>
      </c>
      <c r="Q143" s="8">
        <f t="shared" si="50"/>
        <v>0</v>
      </c>
      <c r="R143" s="8">
        <f t="shared" si="68"/>
        <v>0</v>
      </c>
      <c r="S143" s="8">
        <f>IFERROR((O143+P143)*INDEX([1]Sheet1!$A$1:$A$13,MATCH((O143+P143),[1]Sheet1!$B$1:$B$13)),0)</f>
        <v>0</v>
      </c>
      <c r="T143" s="6">
        <f t="shared" si="51"/>
        <v>0</v>
      </c>
      <c r="U143" s="8"/>
      <c r="V143" s="8">
        <f t="shared" si="52"/>
        <v>0</v>
      </c>
      <c r="W143" s="8">
        <f t="shared" si="53"/>
        <v>0</v>
      </c>
      <c r="X143" s="8">
        <f t="shared" si="69"/>
        <v>0</v>
      </c>
      <c r="Y143" s="8">
        <f>IFERROR((U143+V143)*INDEX([1]Sheet1!$A$1:$A$13,MATCH((U143+V143),[1]Sheet1!$B$1:$B$13)),0)</f>
        <v>0</v>
      </c>
      <c r="Z143" s="6">
        <f t="shared" si="54"/>
        <v>0</v>
      </c>
      <c r="AA143" s="8"/>
      <c r="AB143" s="8">
        <f t="shared" si="55"/>
        <v>0</v>
      </c>
      <c r="AC143" s="8">
        <f t="shared" si="56"/>
        <v>0</v>
      </c>
      <c r="AD143" s="8">
        <f t="shared" si="70"/>
        <v>0</v>
      </c>
      <c r="AE143" s="8">
        <f>IFERROR((AA143+AB143)*INDEX([1]Sheet1!$A$1:$A$13,MATCH((AA143+AB143),[1]Sheet1!$B$1:$B$13)),0)</f>
        <v>0</v>
      </c>
      <c r="AF143" s="6">
        <f t="shared" si="57"/>
        <v>0</v>
      </c>
      <c r="AG143" s="8"/>
      <c r="AH143" s="8">
        <f t="shared" si="58"/>
        <v>0</v>
      </c>
      <c r="AI143" s="8">
        <f t="shared" si="59"/>
        <v>0</v>
      </c>
      <c r="AJ143" s="8">
        <f t="shared" si="71"/>
        <v>0</v>
      </c>
      <c r="AK143" s="8">
        <f>IFERROR((AG143+AH143)*INDEX([1]Sheet1!$A$1:$A$13,MATCH((AG143+AH143),[1]Sheet1!$B$1:$B$13)),0)</f>
        <v>0</v>
      </c>
      <c r="AL143" s="6">
        <f t="shared" si="60"/>
        <v>0</v>
      </c>
      <c r="AM143" s="8"/>
      <c r="AN143" s="8">
        <f t="shared" si="61"/>
        <v>0</v>
      </c>
      <c r="AO143" s="8">
        <f t="shared" si="62"/>
        <v>0</v>
      </c>
      <c r="AP143" s="8">
        <f t="shared" si="72"/>
        <v>0</v>
      </c>
      <c r="AQ143" s="8">
        <f>IFERROR((AM143+AN143)*INDEX([1]Sheet1!$A$1:$A$13,MATCH((AM143+AN143),[1]Sheet1!$B$1:$B$13)),0)</f>
        <v>0</v>
      </c>
      <c r="AR143" s="6">
        <f t="shared" si="63"/>
        <v>0</v>
      </c>
      <c r="AS143" s="8"/>
      <c r="AT143" s="8">
        <f t="shared" si="64"/>
        <v>0</v>
      </c>
      <c r="AU143" s="8">
        <f t="shared" si="65"/>
        <v>0</v>
      </c>
      <c r="AV143" s="8">
        <f t="shared" si="73"/>
        <v>0</v>
      </c>
      <c r="AW143" s="8">
        <f>IFERROR((AS143+AT143)*INDEX([1]Sheet1!$A$1:$A$13,MATCH((AS143+AT143),[1]Sheet1!$B$1:$B$13)),0)</f>
        <v>0</v>
      </c>
      <c r="BC143" s="1" t="str">
        <f t="shared" si="66"/>
        <v/>
      </c>
    </row>
    <row r="144" spans="1:55" ht="18" customHeight="1" x14ac:dyDescent="0.2">
      <c r="A144" s="4"/>
      <c r="B144" s="6"/>
      <c r="C144" s="6"/>
      <c r="D144" s="6"/>
      <c r="E144" s="6"/>
      <c r="F144" s="4"/>
      <c r="G144" s="7"/>
      <c r="H144" s="6">
        <f t="shared" si="46"/>
        <v>0</v>
      </c>
      <c r="I144" s="8"/>
      <c r="J144" s="8"/>
      <c r="K144" s="8">
        <f t="shared" si="47"/>
        <v>0</v>
      </c>
      <c r="L144" s="8">
        <f t="shared" si="67"/>
        <v>0</v>
      </c>
      <c r="M144" s="8">
        <f>IFERROR((I144+J144)*INDEX([1]Sheet1!$A$1:$A$13,MATCH((I144+J144),[1]Sheet1!$B$1:$B$13)),0)</f>
        <v>0</v>
      </c>
      <c r="N144" s="6">
        <f t="shared" si="48"/>
        <v>0</v>
      </c>
      <c r="O144" s="8"/>
      <c r="P144" s="8">
        <f t="shared" si="49"/>
        <v>0</v>
      </c>
      <c r="Q144" s="8">
        <f t="shared" si="50"/>
        <v>0</v>
      </c>
      <c r="R144" s="8">
        <f t="shared" si="68"/>
        <v>0</v>
      </c>
      <c r="S144" s="8">
        <f>IFERROR((O144+P144)*INDEX([1]Sheet1!$A$1:$A$13,MATCH((O144+P144),[1]Sheet1!$B$1:$B$13)),0)</f>
        <v>0</v>
      </c>
      <c r="T144" s="6">
        <f t="shared" si="51"/>
        <v>0</v>
      </c>
      <c r="U144" s="8"/>
      <c r="V144" s="8">
        <f t="shared" si="52"/>
        <v>0</v>
      </c>
      <c r="W144" s="8">
        <f t="shared" si="53"/>
        <v>0</v>
      </c>
      <c r="X144" s="8">
        <f t="shared" si="69"/>
        <v>0</v>
      </c>
      <c r="Y144" s="8">
        <f>IFERROR((U144+V144)*INDEX([1]Sheet1!$A$1:$A$13,MATCH((U144+V144),[1]Sheet1!$B$1:$B$13)),0)</f>
        <v>0</v>
      </c>
      <c r="Z144" s="6">
        <f t="shared" si="54"/>
        <v>0</v>
      </c>
      <c r="AA144" s="8"/>
      <c r="AB144" s="8">
        <f t="shared" si="55"/>
        <v>0</v>
      </c>
      <c r="AC144" s="8">
        <f t="shared" si="56"/>
        <v>0</v>
      </c>
      <c r="AD144" s="8">
        <f t="shared" si="70"/>
        <v>0</v>
      </c>
      <c r="AE144" s="8">
        <f>IFERROR((AA144+AB144)*INDEX([1]Sheet1!$A$1:$A$13,MATCH((AA144+AB144),[1]Sheet1!$B$1:$B$13)),0)</f>
        <v>0</v>
      </c>
      <c r="AF144" s="6">
        <f t="shared" si="57"/>
        <v>0</v>
      </c>
      <c r="AG144" s="8"/>
      <c r="AH144" s="8">
        <f t="shared" si="58"/>
        <v>0</v>
      </c>
      <c r="AI144" s="8">
        <f t="shared" si="59"/>
        <v>0</v>
      </c>
      <c r="AJ144" s="8">
        <f t="shared" si="71"/>
        <v>0</v>
      </c>
      <c r="AK144" s="8">
        <f>IFERROR((AG144+AH144)*INDEX([1]Sheet1!$A$1:$A$13,MATCH((AG144+AH144),[1]Sheet1!$B$1:$B$13)),0)</f>
        <v>0</v>
      </c>
      <c r="AL144" s="6">
        <f t="shared" si="60"/>
        <v>0</v>
      </c>
      <c r="AM144" s="8"/>
      <c r="AN144" s="8">
        <f t="shared" si="61"/>
        <v>0</v>
      </c>
      <c r="AO144" s="8">
        <f t="shared" si="62"/>
        <v>0</v>
      </c>
      <c r="AP144" s="8">
        <f t="shared" si="72"/>
        <v>0</v>
      </c>
      <c r="AQ144" s="8">
        <f>IFERROR((AM144+AN144)*INDEX([1]Sheet1!$A$1:$A$13,MATCH((AM144+AN144),[1]Sheet1!$B$1:$B$13)),0)</f>
        <v>0</v>
      </c>
      <c r="AR144" s="6">
        <f t="shared" si="63"/>
        <v>0</v>
      </c>
      <c r="AS144" s="8"/>
      <c r="AT144" s="8">
        <f t="shared" si="64"/>
        <v>0</v>
      </c>
      <c r="AU144" s="8">
        <f t="shared" si="65"/>
        <v>0</v>
      </c>
      <c r="AV144" s="8">
        <f t="shared" si="73"/>
        <v>0</v>
      </c>
      <c r="AW144" s="8">
        <f>IFERROR((AS144+AT144)*INDEX([1]Sheet1!$A$1:$A$13,MATCH((AS144+AT144),[1]Sheet1!$B$1:$B$13)),0)</f>
        <v>0</v>
      </c>
      <c r="BC144" s="1" t="str">
        <f t="shared" si="66"/>
        <v/>
      </c>
    </row>
    <row r="145" spans="1:55" ht="18" customHeight="1" x14ac:dyDescent="0.2">
      <c r="A145" s="4"/>
      <c r="B145" s="6"/>
      <c r="C145" s="6"/>
      <c r="D145" s="6"/>
      <c r="E145" s="6"/>
      <c r="F145" s="4"/>
      <c r="G145" s="7"/>
      <c r="H145" s="6">
        <f t="shared" si="46"/>
        <v>0</v>
      </c>
      <c r="I145" s="8"/>
      <c r="J145" s="8"/>
      <c r="K145" s="8">
        <f t="shared" si="47"/>
        <v>0</v>
      </c>
      <c r="L145" s="8">
        <f t="shared" si="67"/>
        <v>0</v>
      </c>
      <c r="M145" s="8">
        <f>IFERROR((I145+J145)*INDEX([1]Sheet1!$A$1:$A$13,MATCH((I145+J145),[1]Sheet1!$B$1:$B$13)),0)</f>
        <v>0</v>
      </c>
      <c r="N145" s="6">
        <f t="shared" si="48"/>
        <v>0</v>
      </c>
      <c r="O145" s="8"/>
      <c r="P145" s="8">
        <f t="shared" si="49"/>
        <v>0</v>
      </c>
      <c r="Q145" s="8">
        <f t="shared" si="50"/>
        <v>0</v>
      </c>
      <c r="R145" s="8">
        <f t="shared" si="68"/>
        <v>0</v>
      </c>
      <c r="S145" s="8">
        <f>IFERROR((O145+P145)*INDEX([1]Sheet1!$A$1:$A$13,MATCH((O145+P145),[1]Sheet1!$B$1:$B$13)),0)</f>
        <v>0</v>
      </c>
      <c r="T145" s="6">
        <f t="shared" si="51"/>
        <v>0</v>
      </c>
      <c r="U145" s="8"/>
      <c r="V145" s="8">
        <f t="shared" si="52"/>
        <v>0</v>
      </c>
      <c r="W145" s="8">
        <f t="shared" si="53"/>
        <v>0</v>
      </c>
      <c r="X145" s="8">
        <f t="shared" si="69"/>
        <v>0</v>
      </c>
      <c r="Y145" s="8">
        <f>IFERROR((U145+V145)*INDEX([1]Sheet1!$A$1:$A$13,MATCH((U145+V145),[1]Sheet1!$B$1:$B$13)),0)</f>
        <v>0</v>
      </c>
      <c r="Z145" s="6">
        <f t="shared" si="54"/>
        <v>0</v>
      </c>
      <c r="AA145" s="8"/>
      <c r="AB145" s="8">
        <f t="shared" si="55"/>
        <v>0</v>
      </c>
      <c r="AC145" s="8">
        <f t="shared" si="56"/>
        <v>0</v>
      </c>
      <c r="AD145" s="8">
        <f t="shared" si="70"/>
        <v>0</v>
      </c>
      <c r="AE145" s="8">
        <f>IFERROR((AA145+AB145)*INDEX([1]Sheet1!$A$1:$A$13,MATCH((AA145+AB145),[1]Sheet1!$B$1:$B$13)),0)</f>
        <v>0</v>
      </c>
      <c r="AF145" s="6">
        <f t="shared" si="57"/>
        <v>0</v>
      </c>
      <c r="AG145" s="8"/>
      <c r="AH145" s="8">
        <f t="shared" si="58"/>
        <v>0</v>
      </c>
      <c r="AI145" s="8">
        <f t="shared" si="59"/>
        <v>0</v>
      </c>
      <c r="AJ145" s="8">
        <f t="shared" si="71"/>
        <v>0</v>
      </c>
      <c r="AK145" s="8">
        <f>IFERROR((AG145+AH145)*INDEX([1]Sheet1!$A$1:$A$13,MATCH((AG145+AH145),[1]Sheet1!$B$1:$B$13)),0)</f>
        <v>0</v>
      </c>
      <c r="AL145" s="6">
        <f t="shared" si="60"/>
        <v>0</v>
      </c>
      <c r="AM145" s="8"/>
      <c r="AN145" s="8">
        <f t="shared" si="61"/>
        <v>0</v>
      </c>
      <c r="AO145" s="8">
        <f t="shared" si="62"/>
        <v>0</v>
      </c>
      <c r="AP145" s="8">
        <f t="shared" si="72"/>
        <v>0</v>
      </c>
      <c r="AQ145" s="8">
        <f>IFERROR((AM145+AN145)*INDEX([1]Sheet1!$A$1:$A$13,MATCH((AM145+AN145),[1]Sheet1!$B$1:$B$13)),0)</f>
        <v>0</v>
      </c>
      <c r="AR145" s="6">
        <f t="shared" si="63"/>
        <v>0</v>
      </c>
      <c r="AS145" s="8"/>
      <c r="AT145" s="8">
        <f t="shared" si="64"/>
        <v>0</v>
      </c>
      <c r="AU145" s="8">
        <f t="shared" si="65"/>
        <v>0</v>
      </c>
      <c r="AV145" s="8">
        <f t="shared" si="73"/>
        <v>0</v>
      </c>
      <c r="AW145" s="8">
        <f>IFERROR((AS145+AT145)*INDEX([1]Sheet1!$A$1:$A$13,MATCH((AS145+AT145),[1]Sheet1!$B$1:$B$13)),0)</f>
        <v>0</v>
      </c>
      <c r="BC145" s="1" t="str">
        <f t="shared" si="66"/>
        <v/>
      </c>
    </row>
    <row r="146" spans="1:55" ht="18" customHeight="1" x14ac:dyDescent="0.2">
      <c r="A146" s="4"/>
      <c r="B146" s="5"/>
      <c r="C146" s="6"/>
      <c r="D146" s="6"/>
      <c r="E146" s="6"/>
      <c r="F146" s="4"/>
      <c r="G146" s="7"/>
      <c r="H146" s="6">
        <f t="shared" si="46"/>
        <v>0</v>
      </c>
      <c r="I146" s="8"/>
      <c r="J146" s="8"/>
      <c r="K146" s="8">
        <f t="shared" si="47"/>
        <v>0</v>
      </c>
      <c r="L146" s="8">
        <f t="shared" si="67"/>
        <v>0</v>
      </c>
      <c r="M146" s="8">
        <f>IFERROR((I146+J146)*INDEX([1]Sheet1!$A$1:$A$13,MATCH((I146+J146),[1]Sheet1!$B$1:$B$13)),0)</f>
        <v>0</v>
      </c>
      <c r="N146" s="6">
        <f t="shared" si="48"/>
        <v>0</v>
      </c>
      <c r="O146" s="8"/>
      <c r="P146" s="8">
        <f t="shared" si="49"/>
        <v>0</v>
      </c>
      <c r="Q146" s="8">
        <f t="shared" si="50"/>
        <v>0</v>
      </c>
      <c r="R146" s="8">
        <f t="shared" si="68"/>
        <v>0</v>
      </c>
      <c r="S146" s="8">
        <f>IFERROR((O146+P146)*INDEX([1]Sheet1!$A$1:$A$13,MATCH((O146+P146),[1]Sheet1!$B$1:$B$13)),0)</f>
        <v>0</v>
      </c>
      <c r="T146" s="6">
        <f t="shared" si="51"/>
        <v>0</v>
      </c>
      <c r="U146" s="8"/>
      <c r="V146" s="8">
        <f t="shared" si="52"/>
        <v>0</v>
      </c>
      <c r="W146" s="8">
        <f t="shared" si="53"/>
        <v>0</v>
      </c>
      <c r="X146" s="8">
        <f t="shared" si="69"/>
        <v>0</v>
      </c>
      <c r="Y146" s="8">
        <f>IFERROR((U146+V146)*INDEX([1]Sheet1!$A$1:$A$13,MATCH((U146+V146),[1]Sheet1!$B$1:$B$13)),0)</f>
        <v>0</v>
      </c>
      <c r="Z146" s="6">
        <f t="shared" si="54"/>
        <v>0</v>
      </c>
      <c r="AA146" s="8"/>
      <c r="AB146" s="8">
        <f t="shared" si="55"/>
        <v>0</v>
      </c>
      <c r="AC146" s="8">
        <f t="shared" si="56"/>
        <v>0</v>
      </c>
      <c r="AD146" s="8">
        <f t="shared" si="70"/>
        <v>0</v>
      </c>
      <c r="AE146" s="8">
        <f>IFERROR((AA146+AB146)*INDEX([1]Sheet1!$A$1:$A$13,MATCH((AA146+AB146),[1]Sheet1!$B$1:$B$13)),0)</f>
        <v>0</v>
      </c>
      <c r="AF146" s="6">
        <f t="shared" si="57"/>
        <v>0</v>
      </c>
      <c r="AG146" s="8"/>
      <c r="AH146" s="8">
        <f t="shared" si="58"/>
        <v>0</v>
      </c>
      <c r="AI146" s="8">
        <f t="shared" si="59"/>
        <v>0</v>
      </c>
      <c r="AJ146" s="8">
        <f t="shared" si="71"/>
        <v>0</v>
      </c>
      <c r="AK146" s="8">
        <f>IFERROR((AG146+AH146)*INDEX([1]Sheet1!$A$1:$A$13,MATCH((AG146+AH146),[1]Sheet1!$B$1:$B$13)),0)</f>
        <v>0</v>
      </c>
      <c r="AL146" s="6">
        <f t="shared" si="60"/>
        <v>0</v>
      </c>
      <c r="AM146" s="8"/>
      <c r="AN146" s="8">
        <f t="shared" si="61"/>
        <v>0</v>
      </c>
      <c r="AO146" s="8">
        <f t="shared" si="62"/>
        <v>0</v>
      </c>
      <c r="AP146" s="8">
        <f t="shared" si="72"/>
        <v>0</v>
      </c>
      <c r="AQ146" s="8">
        <f>IFERROR((AM146+AN146)*INDEX([1]Sheet1!$A$1:$A$13,MATCH((AM146+AN146),[1]Sheet1!$B$1:$B$13)),0)</f>
        <v>0</v>
      </c>
      <c r="AR146" s="6">
        <f t="shared" si="63"/>
        <v>0</v>
      </c>
      <c r="AS146" s="8"/>
      <c r="AT146" s="8">
        <f t="shared" si="64"/>
        <v>0</v>
      </c>
      <c r="AU146" s="8">
        <f t="shared" si="65"/>
        <v>0</v>
      </c>
      <c r="AV146" s="8">
        <f t="shared" si="73"/>
        <v>0</v>
      </c>
      <c r="AW146" s="8">
        <f>IFERROR((AS146+AT146)*INDEX([1]Sheet1!$A$1:$A$13,MATCH((AS146+AT146),[1]Sheet1!$B$1:$B$13)),0)</f>
        <v>0</v>
      </c>
      <c r="BC146" s="1" t="str">
        <f t="shared" si="66"/>
        <v/>
      </c>
    </row>
    <row r="147" spans="1:55" ht="18" customHeight="1" x14ac:dyDescent="0.2">
      <c r="A147" s="4"/>
      <c r="B147" s="5"/>
      <c r="C147" s="6"/>
      <c r="D147" s="6"/>
      <c r="E147" s="6"/>
      <c r="F147" s="4"/>
      <c r="G147" s="7"/>
      <c r="H147" s="6">
        <f t="shared" si="46"/>
        <v>0</v>
      </c>
      <c r="I147" s="8"/>
      <c r="J147" s="8"/>
      <c r="K147" s="8">
        <f t="shared" si="47"/>
        <v>0</v>
      </c>
      <c r="L147" s="8">
        <f t="shared" si="67"/>
        <v>0</v>
      </c>
      <c r="M147" s="8">
        <f>IFERROR((I147+J147)*INDEX([1]Sheet1!$A$1:$A$13,MATCH((I147+J147),[1]Sheet1!$B$1:$B$13)),0)</f>
        <v>0</v>
      </c>
      <c r="N147" s="6">
        <f t="shared" si="48"/>
        <v>0</v>
      </c>
      <c r="O147" s="8"/>
      <c r="P147" s="8">
        <f t="shared" si="49"/>
        <v>0</v>
      </c>
      <c r="Q147" s="8">
        <f t="shared" si="50"/>
        <v>0</v>
      </c>
      <c r="R147" s="8">
        <f t="shared" si="68"/>
        <v>0</v>
      </c>
      <c r="S147" s="8">
        <f>IFERROR((O147+P147)*INDEX([1]Sheet1!$A$1:$A$13,MATCH((O147+P147),[1]Sheet1!$B$1:$B$13)),0)</f>
        <v>0</v>
      </c>
      <c r="T147" s="6">
        <f t="shared" si="51"/>
        <v>0</v>
      </c>
      <c r="U147" s="8"/>
      <c r="V147" s="8">
        <f t="shared" si="52"/>
        <v>0</v>
      </c>
      <c r="W147" s="8">
        <f t="shared" si="53"/>
        <v>0</v>
      </c>
      <c r="X147" s="8">
        <f t="shared" si="69"/>
        <v>0</v>
      </c>
      <c r="Y147" s="8">
        <f>IFERROR((U147+V147)*INDEX([1]Sheet1!$A$1:$A$13,MATCH((U147+V147),[1]Sheet1!$B$1:$B$13)),0)</f>
        <v>0</v>
      </c>
      <c r="Z147" s="6">
        <f t="shared" si="54"/>
        <v>0</v>
      </c>
      <c r="AA147" s="8"/>
      <c r="AB147" s="8">
        <f t="shared" si="55"/>
        <v>0</v>
      </c>
      <c r="AC147" s="8">
        <f t="shared" si="56"/>
        <v>0</v>
      </c>
      <c r="AD147" s="8">
        <f t="shared" si="70"/>
        <v>0</v>
      </c>
      <c r="AE147" s="8">
        <f>IFERROR((AA147+AB147)*INDEX([1]Sheet1!$A$1:$A$13,MATCH((AA147+AB147),[1]Sheet1!$B$1:$B$13)),0)</f>
        <v>0</v>
      </c>
      <c r="AF147" s="6">
        <f t="shared" si="57"/>
        <v>0</v>
      </c>
      <c r="AG147" s="8"/>
      <c r="AH147" s="8">
        <f t="shared" si="58"/>
        <v>0</v>
      </c>
      <c r="AI147" s="8">
        <f t="shared" si="59"/>
        <v>0</v>
      </c>
      <c r="AJ147" s="8">
        <f t="shared" si="71"/>
        <v>0</v>
      </c>
      <c r="AK147" s="8">
        <f>IFERROR((AG147+AH147)*INDEX([1]Sheet1!$A$1:$A$13,MATCH((AG147+AH147),[1]Sheet1!$B$1:$B$13)),0)</f>
        <v>0</v>
      </c>
      <c r="AL147" s="6">
        <f t="shared" si="60"/>
        <v>0</v>
      </c>
      <c r="AM147" s="8"/>
      <c r="AN147" s="8">
        <f t="shared" si="61"/>
        <v>0</v>
      </c>
      <c r="AO147" s="8">
        <f t="shared" si="62"/>
        <v>0</v>
      </c>
      <c r="AP147" s="8">
        <f t="shared" si="72"/>
        <v>0</v>
      </c>
      <c r="AQ147" s="8">
        <f>IFERROR((AM147+AN147)*INDEX([1]Sheet1!$A$1:$A$13,MATCH((AM147+AN147),[1]Sheet1!$B$1:$B$13)),0)</f>
        <v>0</v>
      </c>
      <c r="AR147" s="6">
        <f t="shared" si="63"/>
        <v>0</v>
      </c>
      <c r="AS147" s="8"/>
      <c r="AT147" s="8">
        <f t="shared" si="64"/>
        <v>0</v>
      </c>
      <c r="AU147" s="8">
        <f t="shared" si="65"/>
        <v>0</v>
      </c>
      <c r="AV147" s="8">
        <f t="shared" si="73"/>
        <v>0</v>
      </c>
      <c r="AW147" s="8">
        <f>IFERROR((AS147+AT147)*INDEX([1]Sheet1!$A$1:$A$13,MATCH((AS147+AT147),[1]Sheet1!$B$1:$B$13)),0)</f>
        <v>0</v>
      </c>
      <c r="BC147" s="1" t="str">
        <f t="shared" si="66"/>
        <v/>
      </c>
    </row>
    <row r="148" spans="1:55" ht="18" customHeight="1" x14ac:dyDescent="0.2">
      <c r="A148" s="4"/>
      <c r="B148" s="5"/>
      <c r="C148" s="6"/>
      <c r="D148" s="6"/>
      <c r="E148" s="6"/>
      <c r="F148" s="4"/>
      <c r="G148" s="7"/>
      <c r="H148" s="6">
        <f t="shared" si="46"/>
        <v>0</v>
      </c>
      <c r="I148" s="8"/>
      <c r="J148" s="8"/>
      <c r="K148" s="8">
        <f t="shared" si="47"/>
        <v>0</v>
      </c>
      <c r="L148" s="8">
        <f t="shared" si="67"/>
        <v>0</v>
      </c>
      <c r="M148" s="8">
        <f>IFERROR((I148+J148)*INDEX([1]Sheet1!$A$1:$A$13,MATCH((I148+J148),[1]Sheet1!$B$1:$B$13)),0)</f>
        <v>0</v>
      </c>
      <c r="N148" s="6">
        <f t="shared" si="48"/>
        <v>0</v>
      </c>
      <c r="O148" s="8"/>
      <c r="P148" s="8">
        <f t="shared" si="49"/>
        <v>0</v>
      </c>
      <c r="Q148" s="8">
        <f t="shared" si="50"/>
        <v>0</v>
      </c>
      <c r="R148" s="8">
        <f t="shared" si="68"/>
        <v>0</v>
      </c>
      <c r="S148" s="8">
        <f>IFERROR((O148+P148)*INDEX([1]Sheet1!$A$1:$A$13,MATCH((O148+P148),[1]Sheet1!$B$1:$B$13)),0)</f>
        <v>0</v>
      </c>
      <c r="T148" s="6">
        <f t="shared" si="51"/>
        <v>0</v>
      </c>
      <c r="U148" s="8"/>
      <c r="V148" s="8">
        <f t="shared" si="52"/>
        <v>0</v>
      </c>
      <c r="W148" s="8">
        <f t="shared" si="53"/>
        <v>0</v>
      </c>
      <c r="X148" s="8">
        <f t="shared" si="69"/>
        <v>0</v>
      </c>
      <c r="Y148" s="8">
        <f>IFERROR((U148+V148)*INDEX([1]Sheet1!$A$1:$A$13,MATCH((U148+V148),[1]Sheet1!$B$1:$B$13)),0)</f>
        <v>0</v>
      </c>
      <c r="Z148" s="6">
        <f t="shared" si="54"/>
        <v>0</v>
      </c>
      <c r="AA148" s="8"/>
      <c r="AB148" s="8">
        <f t="shared" si="55"/>
        <v>0</v>
      </c>
      <c r="AC148" s="8">
        <f t="shared" si="56"/>
        <v>0</v>
      </c>
      <c r="AD148" s="8">
        <f t="shared" si="70"/>
        <v>0</v>
      </c>
      <c r="AE148" s="8">
        <f>IFERROR((AA148+AB148)*INDEX([1]Sheet1!$A$1:$A$13,MATCH((AA148+AB148),[1]Sheet1!$B$1:$B$13)),0)</f>
        <v>0</v>
      </c>
      <c r="AF148" s="6">
        <f t="shared" si="57"/>
        <v>0</v>
      </c>
      <c r="AG148" s="8"/>
      <c r="AH148" s="8">
        <f t="shared" si="58"/>
        <v>0</v>
      </c>
      <c r="AI148" s="8">
        <f t="shared" si="59"/>
        <v>0</v>
      </c>
      <c r="AJ148" s="8">
        <f t="shared" si="71"/>
        <v>0</v>
      </c>
      <c r="AK148" s="8">
        <f>IFERROR((AG148+AH148)*INDEX([1]Sheet1!$A$1:$A$13,MATCH((AG148+AH148),[1]Sheet1!$B$1:$B$13)),0)</f>
        <v>0</v>
      </c>
      <c r="AL148" s="6">
        <f t="shared" si="60"/>
        <v>0</v>
      </c>
      <c r="AM148" s="8"/>
      <c r="AN148" s="8">
        <f t="shared" si="61"/>
        <v>0</v>
      </c>
      <c r="AO148" s="8">
        <f t="shared" si="62"/>
        <v>0</v>
      </c>
      <c r="AP148" s="8">
        <f t="shared" si="72"/>
        <v>0</v>
      </c>
      <c r="AQ148" s="8">
        <f>IFERROR((AM148+AN148)*INDEX([1]Sheet1!$A$1:$A$13,MATCH((AM148+AN148),[1]Sheet1!$B$1:$B$13)),0)</f>
        <v>0</v>
      </c>
      <c r="AR148" s="6">
        <f t="shared" si="63"/>
        <v>0</v>
      </c>
      <c r="AS148" s="8"/>
      <c r="AT148" s="8">
        <f t="shared" si="64"/>
        <v>0</v>
      </c>
      <c r="AU148" s="8">
        <f t="shared" si="65"/>
        <v>0</v>
      </c>
      <c r="AV148" s="8">
        <f t="shared" si="73"/>
        <v>0</v>
      </c>
      <c r="AW148" s="8">
        <f>IFERROR((AS148+AT148)*INDEX([1]Sheet1!$A$1:$A$13,MATCH((AS148+AT148),[1]Sheet1!$B$1:$B$13)),0)</f>
        <v>0</v>
      </c>
      <c r="BC148" s="1" t="str">
        <f t="shared" si="66"/>
        <v/>
      </c>
    </row>
    <row r="149" spans="1:55" ht="18" customHeight="1" x14ac:dyDescent="0.2">
      <c r="A149" s="4"/>
      <c r="B149" s="6"/>
      <c r="C149" s="6"/>
      <c r="D149" s="6"/>
      <c r="E149" s="6"/>
      <c r="F149" s="4"/>
      <c r="G149" s="7"/>
      <c r="H149" s="6">
        <f t="shared" si="46"/>
        <v>0</v>
      </c>
      <c r="I149" s="8"/>
      <c r="J149" s="8"/>
      <c r="K149" s="8">
        <f t="shared" si="47"/>
        <v>0</v>
      </c>
      <c r="L149" s="8">
        <f t="shared" si="67"/>
        <v>0</v>
      </c>
      <c r="M149" s="8">
        <f>IFERROR((I149+J149)*INDEX([1]Sheet1!$A$1:$A$13,MATCH((I149+J149),[1]Sheet1!$B$1:$B$13)),0)</f>
        <v>0</v>
      </c>
      <c r="N149" s="6">
        <f t="shared" si="48"/>
        <v>0</v>
      </c>
      <c r="O149" s="8"/>
      <c r="P149" s="8">
        <f t="shared" si="49"/>
        <v>0</v>
      </c>
      <c r="Q149" s="8">
        <f t="shared" si="50"/>
        <v>0</v>
      </c>
      <c r="R149" s="8">
        <f t="shared" si="68"/>
        <v>0</v>
      </c>
      <c r="S149" s="8">
        <f>IFERROR((O149+P149)*INDEX([1]Sheet1!$A$1:$A$13,MATCH((O149+P149),[1]Sheet1!$B$1:$B$13)),0)</f>
        <v>0</v>
      </c>
      <c r="T149" s="6">
        <f t="shared" si="51"/>
        <v>0</v>
      </c>
      <c r="U149" s="8"/>
      <c r="V149" s="8">
        <f t="shared" si="52"/>
        <v>0</v>
      </c>
      <c r="W149" s="8">
        <f t="shared" si="53"/>
        <v>0</v>
      </c>
      <c r="X149" s="8">
        <f t="shared" si="69"/>
        <v>0</v>
      </c>
      <c r="Y149" s="8">
        <f>IFERROR((U149+V149)*INDEX([1]Sheet1!$A$1:$A$13,MATCH((U149+V149),[1]Sheet1!$B$1:$B$13)),0)</f>
        <v>0</v>
      </c>
      <c r="Z149" s="6">
        <f t="shared" si="54"/>
        <v>0</v>
      </c>
      <c r="AA149" s="8"/>
      <c r="AB149" s="8">
        <f t="shared" si="55"/>
        <v>0</v>
      </c>
      <c r="AC149" s="8">
        <f t="shared" si="56"/>
        <v>0</v>
      </c>
      <c r="AD149" s="8">
        <f t="shared" si="70"/>
        <v>0</v>
      </c>
      <c r="AE149" s="8">
        <f>IFERROR((AA149+AB149)*INDEX([1]Sheet1!$A$1:$A$13,MATCH((AA149+AB149),[1]Sheet1!$B$1:$B$13)),0)</f>
        <v>0</v>
      </c>
      <c r="AF149" s="6">
        <f t="shared" si="57"/>
        <v>0</v>
      </c>
      <c r="AG149" s="8"/>
      <c r="AH149" s="8">
        <f t="shared" si="58"/>
        <v>0</v>
      </c>
      <c r="AI149" s="8">
        <f t="shared" si="59"/>
        <v>0</v>
      </c>
      <c r="AJ149" s="8">
        <f t="shared" si="71"/>
        <v>0</v>
      </c>
      <c r="AK149" s="8">
        <f>IFERROR((AG149+AH149)*INDEX([1]Sheet1!$A$1:$A$13,MATCH((AG149+AH149),[1]Sheet1!$B$1:$B$13)),0)</f>
        <v>0</v>
      </c>
      <c r="AL149" s="6">
        <f t="shared" si="60"/>
        <v>0</v>
      </c>
      <c r="AM149" s="8"/>
      <c r="AN149" s="8">
        <f t="shared" si="61"/>
        <v>0</v>
      </c>
      <c r="AO149" s="8">
        <f t="shared" si="62"/>
        <v>0</v>
      </c>
      <c r="AP149" s="8">
        <f t="shared" si="72"/>
        <v>0</v>
      </c>
      <c r="AQ149" s="8">
        <f>IFERROR((AM149+AN149)*INDEX([1]Sheet1!$A$1:$A$13,MATCH((AM149+AN149),[1]Sheet1!$B$1:$B$13)),0)</f>
        <v>0</v>
      </c>
      <c r="AR149" s="6">
        <f t="shared" si="63"/>
        <v>0</v>
      </c>
      <c r="AS149" s="8"/>
      <c r="AT149" s="8">
        <f t="shared" si="64"/>
        <v>0</v>
      </c>
      <c r="AU149" s="8">
        <f t="shared" si="65"/>
        <v>0</v>
      </c>
      <c r="AV149" s="8">
        <f t="shared" si="73"/>
        <v>0</v>
      </c>
      <c r="AW149" s="8">
        <f>IFERROR((AS149+AT149)*INDEX([1]Sheet1!$A$1:$A$13,MATCH((AS149+AT149),[1]Sheet1!$B$1:$B$13)),0)</f>
        <v>0</v>
      </c>
      <c r="BC149" s="1" t="str">
        <f t="shared" si="66"/>
        <v/>
      </c>
    </row>
    <row r="150" spans="1:55" ht="18" customHeight="1" x14ac:dyDescent="0.2">
      <c r="A150" s="4"/>
      <c r="B150" s="5"/>
      <c r="C150" s="6"/>
      <c r="D150" s="6"/>
      <c r="E150" s="6"/>
      <c r="F150" s="4"/>
      <c r="G150" s="7"/>
      <c r="H150" s="6">
        <f t="shared" si="46"/>
        <v>0</v>
      </c>
      <c r="I150" s="8"/>
      <c r="J150" s="8"/>
      <c r="K150" s="8">
        <f t="shared" si="47"/>
        <v>0</v>
      </c>
      <c r="L150" s="8">
        <f t="shared" si="67"/>
        <v>0</v>
      </c>
      <c r="M150" s="8">
        <f>IFERROR((I150+J150)*INDEX([1]Sheet1!$A$1:$A$13,MATCH((I150+J150),[1]Sheet1!$B$1:$B$13)),0)</f>
        <v>0</v>
      </c>
      <c r="N150" s="6">
        <f t="shared" si="48"/>
        <v>0</v>
      </c>
      <c r="O150" s="8"/>
      <c r="P150" s="8">
        <f t="shared" si="49"/>
        <v>0</v>
      </c>
      <c r="Q150" s="8">
        <f t="shared" si="50"/>
        <v>0</v>
      </c>
      <c r="R150" s="8">
        <f t="shared" si="68"/>
        <v>0</v>
      </c>
      <c r="S150" s="8">
        <f>IFERROR((O150+P150)*INDEX([1]Sheet1!$A$1:$A$13,MATCH((O150+P150),[1]Sheet1!$B$1:$B$13)),0)</f>
        <v>0</v>
      </c>
      <c r="T150" s="6">
        <f t="shared" si="51"/>
        <v>0</v>
      </c>
      <c r="U150" s="8"/>
      <c r="V150" s="8">
        <f t="shared" si="52"/>
        <v>0</v>
      </c>
      <c r="W150" s="8">
        <f t="shared" si="53"/>
        <v>0</v>
      </c>
      <c r="X150" s="8">
        <f t="shared" si="69"/>
        <v>0</v>
      </c>
      <c r="Y150" s="8">
        <f>IFERROR((U150+V150)*INDEX([1]Sheet1!$A$1:$A$13,MATCH((U150+V150),[1]Sheet1!$B$1:$B$13)),0)</f>
        <v>0</v>
      </c>
      <c r="Z150" s="6">
        <f t="shared" si="54"/>
        <v>0</v>
      </c>
      <c r="AA150" s="8"/>
      <c r="AB150" s="8">
        <f t="shared" si="55"/>
        <v>0</v>
      </c>
      <c r="AC150" s="8">
        <f t="shared" si="56"/>
        <v>0</v>
      </c>
      <c r="AD150" s="8">
        <f t="shared" si="70"/>
        <v>0</v>
      </c>
      <c r="AE150" s="8">
        <f>IFERROR((AA150+AB150)*INDEX([1]Sheet1!$A$1:$A$13,MATCH((AA150+AB150),[1]Sheet1!$B$1:$B$13)),0)</f>
        <v>0</v>
      </c>
      <c r="AF150" s="6">
        <f t="shared" si="57"/>
        <v>0</v>
      </c>
      <c r="AG150" s="8"/>
      <c r="AH150" s="8">
        <f t="shared" si="58"/>
        <v>0</v>
      </c>
      <c r="AI150" s="8">
        <f t="shared" si="59"/>
        <v>0</v>
      </c>
      <c r="AJ150" s="8">
        <f t="shared" si="71"/>
        <v>0</v>
      </c>
      <c r="AK150" s="8">
        <f>IFERROR((AG150+AH150)*INDEX([1]Sheet1!$A$1:$A$13,MATCH((AG150+AH150),[1]Sheet1!$B$1:$B$13)),0)</f>
        <v>0</v>
      </c>
      <c r="AL150" s="6">
        <f t="shared" si="60"/>
        <v>0</v>
      </c>
      <c r="AM150" s="8"/>
      <c r="AN150" s="8">
        <f t="shared" si="61"/>
        <v>0</v>
      </c>
      <c r="AO150" s="8">
        <f t="shared" si="62"/>
        <v>0</v>
      </c>
      <c r="AP150" s="8">
        <f t="shared" si="72"/>
        <v>0</v>
      </c>
      <c r="AQ150" s="8">
        <f>IFERROR((AM150+AN150)*INDEX([1]Sheet1!$A$1:$A$13,MATCH((AM150+AN150),[1]Sheet1!$B$1:$B$13)),0)</f>
        <v>0</v>
      </c>
      <c r="AR150" s="6">
        <f t="shared" si="63"/>
        <v>0</v>
      </c>
      <c r="AS150" s="8"/>
      <c r="AT150" s="8">
        <f t="shared" si="64"/>
        <v>0</v>
      </c>
      <c r="AU150" s="8">
        <f t="shared" si="65"/>
        <v>0</v>
      </c>
      <c r="AV150" s="8">
        <f t="shared" si="73"/>
        <v>0</v>
      </c>
      <c r="AW150" s="8">
        <f>IFERROR((AS150+AT150)*INDEX([1]Sheet1!$A$1:$A$13,MATCH((AS150+AT150),[1]Sheet1!$B$1:$B$13)),0)</f>
        <v>0</v>
      </c>
      <c r="BC150" s="1" t="str">
        <f t="shared" si="66"/>
        <v/>
      </c>
    </row>
    <row r="151" spans="1:55" ht="18" customHeight="1" x14ac:dyDescent="0.2">
      <c r="A151" s="4"/>
      <c r="B151" s="5"/>
      <c r="C151" s="6"/>
      <c r="D151" s="6"/>
      <c r="E151" s="6"/>
      <c r="F151" s="4"/>
      <c r="G151" s="7"/>
      <c r="H151" s="6">
        <f t="shared" si="46"/>
        <v>0</v>
      </c>
      <c r="I151" s="8"/>
      <c r="J151" s="8"/>
      <c r="K151" s="8">
        <f t="shared" si="47"/>
        <v>0</v>
      </c>
      <c r="L151" s="8">
        <f t="shared" si="67"/>
        <v>0</v>
      </c>
      <c r="M151" s="8">
        <f>IFERROR((I151+J151)*INDEX([1]Sheet1!$A$1:$A$13,MATCH((I151+J151),[1]Sheet1!$B$1:$B$13)),0)</f>
        <v>0</v>
      </c>
      <c r="N151" s="6">
        <f t="shared" si="48"/>
        <v>0</v>
      </c>
      <c r="O151" s="8"/>
      <c r="P151" s="8">
        <f t="shared" si="49"/>
        <v>0</v>
      </c>
      <c r="Q151" s="8">
        <f t="shared" si="50"/>
        <v>0</v>
      </c>
      <c r="R151" s="8">
        <f t="shared" si="68"/>
        <v>0</v>
      </c>
      <c r="S151" s="8">
        <f>IFERROR((O151+P151)*INDEX([1]Sheet1!$A$1:$A$13,MATCH((O151+P151),[1]Sheet1!$B$1:$B$13)),0)</f>
        <v>0</v>
      </c>
      <c r="T151" s="6">
        <f t="shared" si="51"/>
        <v>0</v>
      </c>
      <c r="U151" s="8"/>
      <c r="V151" s="8">
        <f t="shared" si="52"/>
        <v>0</v>
      </c>
      <c r="W151" s="8">
        <f t="shared" si="53"/>
        <v>0</v>
      </c>
      <c r="X151" s="8">
        <f t="shared" si="69"/>
        <v>0</v>
      </c>
      <c r="Y151" s="8">
        <f>IFERROR((U151+V151)*INDEX([1]Sheet1!$A$1:$A$13,MATCH((U151+V151),[1]Sheet1!$B$1:$B$13)),0)</f>
        <v>0</v>
      </c>
      <c r="Z151" s="6">
        <f t="shared" si="54"/>
        <v>0</v>
      </c>
      <c r="AA151" s="8"/>
      <c r="AB151" s="8">
        <f t="shared" si="55"/>
        <v>0</v>
      </c>
      <c r="AC151" s="8">
        <f t="shared" si="56"/>
        <v>0</v>
      </c>
      <c r="AD151" s="8">
        <f t="shared" si="70"/>
        <v>0</v>
      </c>
      <c r="AE151" s="8">
        <f>IFERROR((AA151+AB151)*INDEX([1]Sheet1!$A$1:$A$13,MATCH((AA151+AB151),[1]Sheet1!$B$1:$B$13)),0)</f>
        <v>0</v>
      </c>
      <c r="AF151" s="6">
        <f t="shared" si="57"/>
        <v>0</v>
      </c>
      <c r="AG151" s="8"/>
      <c r="AH151" s="8">
        <f t="shared" si="58"/>
        <v>0</v>
      </c>
      <c r="AI151" s="8">
        <f t="shared" si="59"/>
        <v>0</v>
      </c>
      <c r="AJ151" s="8">
        <f t="shared" si="71"/>
        <v>0</v>
      </c>
      <c r="AK151" s="8">
        <f>IFERROR((AG151+AH151)*INDEX([1]Sheet1!$A$1:$A$13,MATCH((AG151+AH151),[1]Sheet1!$B$1:$B$13)),0)</f>
        <v>0</v>
      </c>
      <c r="AL151" s="6">
        <f t="shared" si="60"/>
        <v>0</v>
      </c>
      <c r="AM151" s="8"/>
      <c r="AN151" s="8">
        <f t="shared" si="61"/>
        <v>0</v>
      </c>
      <c r="AO151" s="8">
        <f t="shared" si="62"/>
        <v>0</v>
      </c>
      <c r="AP151" s="8">
        <f t="shared" si="72"/>
        <v>0</v>
      </c>
      <c r="AQ151" s="8">
        <f>IFERROR((AM151+AN151)*INDEX([1]Sheet1!$A$1:$A$13,MATCH((AM151+AN151),[1]Sheet1!$B$1:$B$13)),0)</f>
        <v>0</v>
      </c>
      <c r="AR151" s="6">
        <f t="shared" si="63"/>
        <v>0</v>
      </c>
      <c r="AS151" s="8"/>
      <c r="AT151" s="8">
        <f t="shared" si="64"/>
        <v>0</v>
      </c>
      <c r="AU151" s="8">
        <f t="shared" si="65"/>
        <v>0</v>
      </c>
      <c r="AV151" s="8">
        <f t="shared" si="73"/>
        <v>0</v>
      </c>
      <c r="AW151" s="8">
        <f>IFERROR((AS151+AT151)*INDEX([1]Sheet1!$A$1:$A$13,MATCH((AS151+AT151),[1]Sheet1!$B$1:$B$13)),0)</f>
        <v>0</v>
      </c>
      <c r="BC151" s="1" t="str">
        <f t="shared" si="66"/>
        <v/>
      </c>
    </row>
    <row r="152" spans="1:55" ht="18" customHeight="1" x14ac:dyDescent="0.2">
      <c r="A152" s="4"/>
      <c r="B152" s="5"/>
      <c r="C152" s="6"/>
      <c r="D152" s="6"/>
      <c r="E152" s="6"/>
      <c r="F152" s="4"/>
      <c r="G152" s="7"/>
      <c r="H152" s="6">
        <f t="shared" si="46"/>
        <v>0</v>
      </c>
      <c r="I152" s="8"/>
      <c r="J152" s="8"/>
      <c r="K152" s="8">
        <f t="shared" si="47"/>
        <v>0</v>
      </c>
      <c r="L152" s="8">
        <f t="shared" si="67"/>
        <v>0</v>
      </c>
      <c r="M152" s="8">
        <f>IFERROR((I152+J152)*INDEX([1]Sheet1!$A$1:$A$13,MATCH((I152+J152),[1]Sheet1!$B$1:$B$13)),0)</f>
        <v>0</v>
      </c>
      <c r="N152" s="6">
        <f t="shared" si="48"/>
        <v>0</v>
      </c>
      <c r="O152" s="8"/>
      <c r="P152" s="8">
        <f t="shared" si="49"/>
        <v>0</v>
      </c>
      <c r="Q152" s="8">
        <f t="shared" si="50"/>
        <v>0</v>
      </c>
      <c r="R152" s="8">
        <f t="shared" si="68"/>
        <v>0</v>
      </c>
      <c r="S152" s="8">
        <f>IFERROR((O152+P152)*INDEX([1]Sheet1!$A$1:$A$13,MATCH((O152+P152),[1]Sheet1!$B$1:$B$13)),0)</f>
        <v>0</v>
      </c>
      <c r="T152" s="6">
        <f t="shared" si="51"/>
        <v>0</v>
      </c>
      <c r="U152" s="8"/>
      <c r="V152" s="8">
        <f t="shared" si="52"/>
        <v>0</v>
      </c>
      <c r="W152" s="8">
        <f t="shared" si="53"/>
        <v>0</v>
      </c>
      <c r="X152" s="8">
        <f t="shared" si="69"/>
        <v>0</v>
      </c>
      <c r="Y152" s="8">
        <f>IFERROR((U152+V152)*INDEX([1]Sheet1!$A$1:$A$13,MATCH((U152+V152),[1]Sheet1!$B$1:$B$13)),0)</f>
        <v>0</v>
      </c>
      <c r="Z152" s="6">
        <f t="shared" si="54"/>
        <v>0</v>
      </c>
      <c r="AA152" s="8"/>
      <c r="AB152" s="8">
        <f t="shared" si="55"/>
        <v>0</v>
      </c>
      <c r="AC152" s="8">
        <f t="shared" si="56"/>
        <v>0</v>
      </c>
      <c r="AD152" s="8">
        <f t="shared" si="70"/>
        <v>0</v>
      </c>
      <c r="AE152" s="8">
        <f>IFERROR((AA152+AB152)*INDEX([1]Sheet1!$A$1:$A$13,MATCH((AA152+AB152),[1]Sheet1!$B$1:$B$13)),0)</f>
        <v>0</v>
      </c>
      <c r="AF152" s="6">
        <f t="shared" si="57"/>
        <v>0</v>
      </c>
      <c r="AG152" s="8"/>
      <c r="AH152" s="8">
        <f t="shared" si="58"/>
        <v>0</v>
      </c>
      <c r="AI152" s="8">
        <f t="shared" si="59"/>
        <v>0</v>
      </c>
      <c r="AJ152" s="8">
        <f t="shared" si="71"/>
        <v>0</v>
      </c>
      <c r="AK152" s="8">
        <f>IFERROR((AG152+AH152)*INDEX([1]Sheet1!$A$1:$A$13,MATCH((AG152+AH152),[1]Sheet1!$B$1:$B$13)),0)</f>
        <v>0</v>
      </c>
      <c r="AL152" s="6">
        <f t="shared" si="60"/>
        <v>0</v>
      </c>
      <c r="AM152" s="8"/>
      <c r="AN152" s="8">
        <f t="shared" si="61"/>
        <v>0</v>
      </c>
      <c r="AO152" s="8">
        <f t="shared" si="62"/>
        <v>0</v>
      </c>
      <c r="AP152" s="8">
        <f t="shared" si="72"/>
        <v>0</v>
      </c>
      <c r="AQ152" s="8">
        <f>IFERROR((AM152+AN152)*INDEX([1]Sheet1!$A$1:$A$13,MATCH((AM152+AN152),[1]Sheet1!$B$1:$B$13)),0)</f>
        <v>0</v>
      </c>
      <c r="AR152" s="6">
        <f t="shared" si="63"/>
        <v>0</v>
      </c>
      <c r="AS152" s="8"/>
      <c r="AT152" s="8">
        <f t="shared" si="64"/>
        <v>0</v>
      </c>
      <c r="AU152" s="8">
        <f t="shared" si="65"/>
        <v>0</v>
      </c>
      <c r="AV152" s="8">
        <f t="shared" si="73"/>
        <v>0</v>
      </c>
      <c r="AW152" s="8">
        <f>IFERROR((AS152+AT152)*INDEX([1]Sheet1!$A$1:$A$13,MATCH((AS152+AT152),[1]Sheet1!$B$1:$B$13)),0)</f>
        <v>0</v>
      </c>
      <c r="BC152" s="1" t="str">
        <f t="shared" si="66"/>
        <v/>
      </c>
    </row>
    <row r="153" spans="1:55" ht="18" customHeight="1" x14ac:dyDescent="0.2">
      <c r="A153" s="4"/>
      <c r="B153" s="5"/>
      <c r="C153" s="6"/>
      <c r="D153" s="6"/>
      <c r="E153" s="6"/>
      <c r="F153" s="4"/>
      <c r="G153" s="7"/>
      <c r="H153" s="6">
        <f t="shared" ref="H153:H216" si="74">$H$23*$E153</f>
        <v>0</v>
      </c>
      <c r="I153" s="8"/>
      <c r="J153" s="8"/>
      <c r="K153" s="8">
        <f t="shared" ref="K153:K216" si="75">(I153+J153)*$E153</f>
        <v>0</v>
      </c>
      <c r="L153" s="8">
        <f t="shared" si="67"/>
        <v>0</v>
      </c>
      <c r="M153" s="8">
        <f>IFERROR((I153+J153)*INDEX([1]Sheet1!$A$1:$A$13,MATCH((I153+J153),[1]Sheet1!$B$1:$B$13)),0)</f>
        <v>0</v>
      </c>
      <c r="N153" s="6">
        <f t="shared" ref="N153:N216" si="76">$N$23*$E153</f>
        <v>0</v>
      </c>
      <c r="O153" s="8"/>
      <c r="P153" s="8">
        <f t="shared" ref="P153:P216" si="77">IFERROR(($J153/$I153)*O153,0)</f>
        <v>0</v>
      </c>
      <c r="Q153" s="8">
        <f t="shared" ref="Q153:Q216" si="78">(O153+P153)*$E153</f>
        <v>0</v>
      </c>
      <c r="R153" s="8">
        <f t="shared" si="68"/>
        <v>0</v>
      </c>
      <c r="S153" s="8">
        <f>IFERROR((O153+P153)*INDEX([1]Sheet1!$A$1:$A$13,MATCH((O153+P153),[1]Sheet1!$B$1:$B$13)),0)</f>
        <v>0</v>
      </c>
      <c r="T153" s="6">
        <f t="shared" ref="T153:T216" si="79">$T$23*$E153</f>
        <v>0</v>
      </c>
      <c r="U153" s="8"/>
      <c r="V153" s="8">
        <f t="shared" ref="V153:V216" si="80">IFERROR(($J153/$I153)*U153,0)</f>
        <v>0</v>
      </c>
      <c r="W153" s="8">
        <f t="shared" ref="W153:W216" si="81">(U153+V153)*$E153</f>
        <v>0</v>
      </c>
      <c r="X153" s="8">
        <f t="shared" si="69"/>
        <v>0</v>
      </c>
      <c r="Y153" s="8">
        <f>IFERROR((U153+V153)*INDEX([1]Sheet1!$A$1:$A$13,MATCH((U153+V153),[1]Sheet1!$B$1:$B$13)),0)</f>
        <v>0</v>
      </c>
      <c r="Z153" s="6">
        <f t="shared" ref="Z153:Z216" si="82">$Z$23*$E153</f>
        <v>0</v>
      </c>
      <c r="AA153" s="8"/>
      <c r="AB153" s="8">
        <f t="shared" ref="AB153:AB216" si="83">IFERROR(($J153/$I153)*AA153,0)</f>
        <v>0</v>
      </c>
      <c r="AC153" s="8">
        <f t="shared" ref="AC153:AC216" si="84">(AA153+AB153)*$E153</f>
        <v>0</v>
      </c>
      <c r="AD153" s="8">
        <f t="shared" si="70"/>
        <v>0</v>
      </c>
      <c r="AE153" s="8">
        <f>IFERROR((AA153+AB153)*INDEX([1]Sheet1!$A$1:$A$13,MATCH((AA153+AB153),[1]Sheet1!$B$1:$B$13)),0)</f>
        <v>0</v>
      </c>
      <c r="AF153" s="6">
        <f t="shared" ref="AF153:AF216" si="85">$AF$23*$E153</f>
        <v>0</v>
      </c>
      <c r="AG153" s="8"/>
      <c r="AH153" s="8">
        <f t="shared" ref="AH153:AH216" si="86">IFERROR(($J153/$I153)*AG153,0)</f>
        <v>0</v>
      </c>
      <c r="AI153" s="8">
        <f t="shared" ref="AI153:AI216" si="87">(AG153+AH153)*$E153</f>
        <v>0</v>
      </c>
      <c r="AJ153" s="8">
        <f t="shared" si="71"/>
        <v>0</v>
      </c>
      <c r="AK153" s="8">
        <f>IFERROR((AG153+AH153)*INDEX([1]Sheet1!$A$1:$A$13,MATCH((AG153+AH153),[1]Sheet1!$B$1:$B$13)),0)</f>
        <v>0</v>
      </c>
      <c r="AL153" s="6">
        <f t="shared" ref="AL153:AL216" si="88">$AL$23*$E153</f>
        <v>0</v>
      </c>
      <c r="AM153" s="8"/>
      <c r="AN153" s="8">
        <f t="shared" ref="AN153:AN216" si="89">IFERROR(($J153/$I153)*AM153,0)</f>
        <v>0</v>
      </c>
      <c r="AO153" s="8">
        <f t="shared" ref="AO153:AO216" si="90">(AM153+AN153)*$E153</f>
        <v>0</v>
      </c>
      <c r="AP153" s="8">
        <f t="shared" si="72"/>
        <v>0</v>
      </c>
      <c r="AQ153" s="8">
        <f>IFERROR((AM153+AN153)*INDEX([1]Sheet1!$A$1:$A$13,MATCH((AM153+AN153),[1]Sheet1!$B$1:$B$13)),0)</f>
        <v>0</v>
      </c>
      <c r="AR153" s="6">
        <f t="shared" ref="AR153:AR216" si="91">$AR$23*$E153</f>
        <v>0</v>
      </c>
      <c r="AS153" s="8"/>
      <c r="AT153" s="8">
        <f t="shared" ref="AT153:AT216" si="92">IFERROR(($J153/$I153)*AS153,0)</f>
        <v>0</v>
      </c>
      <c r="AU153" s="8">
        <f t="shared" ref="AU153:AU216" si="93">(AS153+AT153)*$E153</f>
        <v>0</v>
      </c>
      <c r="AV153" s="8">
        <f t="shared" si="73"/>
        <v>0</v>
      </c>
      <c r="AW153" s="8">
        <f>IFERROR((AS153+AT153)*INDEX([1]Sheet1!$A$1:$A$13,MATCH((AS153+AT153),[1]Sheet1!$B$1:$B$13)),0)</f>
        <v>0</v>
      </c>
      <c r="BC153" s="1" t="str">
        <f t="shared" ref="BC153:BC216" si="94">IF(E153&gt;0,(IF(I153&gt;0,"","ERROR")),"")</f>
        <v/>
      </c>
    </row>
    <row r="154" spans="1:55" ht="18" customHeight="1" x14ac:dyDescent="0.2">
      <c r="A154" s="4"/>
      <c r="B154" s="6"/>
      <c r="C154" s="6"/>
      <c r="D154" s="6"/>
      <c r="E154" s="6"/>
      <c r="F154" s="4"/>
      <c r="G154" s="7"/>
      <c r="H154" s="6">
        <f t="shared" si="74"/>
        <v>0</v>
      </c>
      <c r="I154" s="8"/>
      <c r="J154" s="8"/>
      <c r="K154" s="8">
        <f t="shared" si="75"/>
        <v>0</v>
      </c>
      <c r="L154" s="8">
        <f t="shared" si="67"/>
        <v>0</v>
      </c>
      <c r="M154" s="8">
        <f>IFERROR((I154+J154)*INDEX([1]Sheet1!$A$1:$A$13,MATCH((I154+J154),[1]Sheet1!$B$1:$B$13)),0)</f>
        <v>0</v>
      </c>
      <c r="N154" s="6">
        <f t="shared" si="76"/>
        <v>0</v>
      </c>
      <c r="O154" s="8"/>
      <c r="P154" s="8">
        <f t="shared" si="77"/>
        <v>0</v>
      </c>
      <c r="Q154" s="8">
        <f t="shared" si="78"/>
        <v>0</v>
      </c>
      <c r="R154" s="8">
        <f t="shared" si="68"/>
        <v>0</v>
      </c>
      <c r="S154" s="8">
        <f>IFERROR((O154+P154)*INDEX([1]Sheet1!$A$1:$A$13,MATCH((O154+P154),[1]Sheet1!$B$1:$B$13)),0)</f>
        <v>0</v>
      </c>
      <c r="T154" s="6">
        <f t="shared" si="79"/>
        <v>0</v>
      </c>
      <c r="U154" s="8"/>
      <c r="V154" s="8">
        <f t="shared" si="80"/>
        <v>0</v>
      </c>
      <c r="W154" s="8">
        <f t="shared" si="81"/>
        <v>0</v>
      </c>
      <c r="X154" s="8">
        <f t="shared" si="69"/>
        <v>0</v>
      </c>
      <c r="Y154" s="8">
        <f>IFERROR((U154+V154)*INDEX([1]Sheet1!$A$1:$A$13,MATCH((U154+V154),[1]Sheet1!$B$1:$B$13)),0)</f>
        <v>0</v>
      </c>
      <c r="Z154" s="6">
        <f t="shared" si="82"/>
        <v>0</v>
      </c>
      <c r="AA154" s="8"/>
      <c r="AB154" s="8">
        <f t="shared" si="83"/>
        <v>0</v>
      </c>
      <c r="AC154" s="8">
        <f t="shared" si="84"/>
        <v>0</v>
      </c>
      <c r="AD154" s="8">
        <f t="shared" si="70"/>
        <v>0</v>
      </c>
      <c r="AE154" s="8">
        <f>IFERROR((AA154+AB154)*INDEX([1]Sheet1!$A$1:$A$13,MATCH((AA154+AB154),[1]Sheet1!$B$1:$B$13)),0)</f>
        <v>0</v>
      </c>
      <c r="AF154" s="6">
        <f t="shared" si="85"/>
        <v>0</v>
      </c>
      <c r="AG154" s="8"/>
      <c r="AH154" s="8">
        <f t="shared" si="86"/>
        <v>0</v>
      </c>
      <c r="AI154" s="8">
        <f t="shared" si="87"/>
        <v>0</v>
      </c>
      <c r="AJ154" s="8">
        <f t="shared" si="71"/>
        <v>0</v>
      </c>
      <c r="AK154" s="8">
        <f>IFERROR((AG154+AH154)*INDEX([1]Sheet1!$A$1:$A$13,MATCH((AG154+AH154),[1]Sheet1!$B$1:$B$13)),0)</f>
        <v>0</v>
      </c>
      <c r="AL154" s="6">
        <f t="shared" si="88"/>
        <v>0</v>
      </c>
      <c r="AM154" s="8"/>
      <c r="AN154" s="8">
        <f t="shared" si="89"/>
        <v>0</v>
      </c>
      <c r="AO154" s="8">
        <f t="shared" si="90"/>
        <v>0</v>
      </c>
      <c r="AP154" s="8">
        <f t="shared" si="72"/>
        <v>0</v>
      </c>
      <c r="AQ154" s="8">
        <f>IFERROR((AM154+AN154)*INDEX([1]Sheet1!$A$1:$A$13,MATCH((AM154+AN154),[1]Sheet1!$B$1:$B$13)),0)</f>
        <v>0</v>
      </c>
      <c r="AR154" s="6">
        <f t="shared" si="91"/>
        <v>0</v>
      </c>
      <c r="AS154" s="8"/>
      <c r="AT154" s="8">
        <f t="shared" si="92"/>
        <v>0</v>
      </c>
      <c r="AU154" s="8">
        <f t="shared" si="93"/>
        <v>0</v>
      </c>
      <c r="AV154" s="8">
        <f t="shared" si="73"/>
        <v>0</v>
      </c>
      <c r="AW154" s="8">
        <f>IFERROR((AS154+AT154)*INDEX([1]Sheet1!$A$1:$A$13,MATCH((AS154+AT154),[1]Sheet1!$B$1:$B$13)),0)</f>
        <v>0</v>
      </c>
      <c r="BC154" s="1" t="str">
        <f t="shared" si="94"/>
        <v/>
      </c>
    </row>
    <row r="155" spans="1:55" ht="18" customHeight="1" x14ac:dyDescent="0.2">
      <c r="A155" s="4"/>
      <c r="B155" s="6"/>
      <c r="C155" s="6"/>
      <c r="D155" s="6"/>
      <c r="E155" s="6"/>
      <c r="F155" s="4"/>
      <c r="G155" s="7"/>
      <c r="H155" s="6">
        <f t="shared" si="74"/>
        <v>0</v>
      </c>
      <c r="I155" s="8"/>
      <c r="J155" s="8"/>
      <c r="K155" s="8">
        <f t="shared" si="75"/>
        <v>0</v>
      </c>
      <c r="L155" s="8">
        <f t="shared" si="67"/>
        <v>0</v>
      </c>
      <c r="M155" s="8">
        <f>IFERROR((I155+J155)*INDEX([1]Sheet1!$A$1:$A$13,MATCH((I155+J155),[1]Sheet1!$B$1:$B$13)),0)</f>
        <v>0</v>
      </c>
      <c r="N155" s="6">
        <f t="shared" si="76"/>
        <v>0</v>
      </c>
      <c r="O155" s="8"/>
      <c r="P155" s="8">
        <f t="shared" si="77"/>
        <v>0</v>
      </c>
      <c r="Q155" s="8">
        <f t="shared" si="78"/>
        <v>0</v>
      </c>
      <c r="R155" s="8">
        <f t="shared" si="68"/>
        <v>0</v>
      </c>
      <c r="S155" s="8">
        <f>IFERROR((O155+P155)*INDEX([1]Sheet1!$A$1:$A$13,MATCH((O155+P155),[1]Sheet1!$B$1:$B$13)),0)</f>
        <v>0</v>
      </c>
      <c r="T155" s="6">
        <f t="shared" si="79"/>
        <v>0</v>
      </c>
      <c r="U155" s="8"/>
      <c r="V155" s="8">
        <f t="shared" si="80"/>
        <v>0</v>
      </c>
      <c r="W155" s="8">
        <f t="shared" si="81"/>
        <v>0</v>
      </c>
      <c r="X155" s="8">
        <f t="shared" si="69"/>
        <v>0</v>
      </c>
      <c r="Y155" s="8">
        <f>IFERROR((U155+V155)*INDEX([1]Sheet1!$A$1:$A$13,MATCH((U155+V155),[1]Sheet1!$B$1:$B$13)),0)</f>
        <v>0</v>
      </c>
      <c r="Z155" s="6">
        <f t="shared" si="82"/>
        <v>0</v>
      </c>
      <c r="AA155" s="8"/>
      <c r="AB155" s="8">
        <f t="shared" si="83"/>
        <v>0</v>
      </c>
      <c r="AC155" s="8">
        <f t="shared" si="84"/>
        <v>0</v>
      </c>
      <c r="AD155" s="8">
        <f t="shared" si="70"/>
        <v>0</v>
      </c>
      <c r="AE155" s="8">
        <f>IFERROR((AA155+AB155)*INDEX([1]Sheet1!$A$1:$A$13,MATCH((AA155+AB155),[1]Sheet1!$B$1:$B$13)),0)</f>
        <v>0</v>
      </c>
      <c r="AF155" s="6">
        <f t="shared" si="85"/>
        <v>0</v>
      </c>
      <c r="AG155" s="8"/>
      <c r="AH155" s="8">
        <f t="shared" si="86"/>
        <v>0</v>
      </c>
      <c r="AI155" s="8">
        <f t="shared" si="87"/>
        <v>0</v>
      </c>
      <c r="AJ155" s="8">
        <f t="shared" si="71"/>
        <v>0</v>
      </c>
      <c r="AK155" s="8">
        <f>IFERROR((AG155+AH155)*INDEX([1]Sheet1!$A$1:$A$13,MATCH((AG155+AH155),[1]Sheet1!$B$1:$B$13)),0)</f>
        <v>0</v>
      </c>
      <c r="AL155" s="6">
        <f t="shared" si="88"/>
        <v>0</v>
      </c>
      <c r="AM155" s="8"/>
      <c r="AN155" s="8">
        <f t="shared" si="89"/>
        <v>0</v>
      </c>
      <c r="AO155" s="8">
        <f t="shared" si="90"/>
        <v>0</v>
      </c>
      <c r="AP155" s="8">
        <f t="shared" si="72"/>
        <v>0</v>
      </c>
      <c r="AQ155" s="8">
        <f>IFERROR((AM155+AN155)*INDEX([1]Sheet1!$A$1:$A$13,MATCH((AM155+AN155),[1]Sheet1!$B$1:$B$13)),0)</f>
        <v>0</v>
      </c>
      <c r="AR155" s="6">
        <f t="shared" si="91"/>
        <v>0</v>
      </c>
      <c r="AS155" s="8"/>
      <c r="AT155" s="8">
        <f t="shared" si="92"/>
        <v>0</v>
      </c>
      <c r="AU155" s="8">
        <f t="shared" si="93"/>
        <v>0</v>
      </c>
      <c r="AV155" s="8">
        <f t="shared" si="73"/>
        <v>0</v>
      </c>
      <c r="AW155" s="8">
        <f>IFERROR((AS155+AT155)*INDEX([1]Sheet1!$A$1:$A$13,MATCH((AS155+AT155),[1]Sheet1!$B$1:$B$13)),0)</f>
        <v>0</v>
      </c>
      <c r="BC155" s="1" t="str">
        <f t="shared" si="94"/>
        <v/>
      </c>
    </row>
    <row r="156" spans="1:55" ht="18" customHeight="1" x14ac:dyDescent="0.2">
      <c r="A156" s="4"/>
      <c r="B156" s="6"/>
      <c r="C156" s="6"/>
      <c r="D156" s="6"/>
      <c r="E156" s="6"/>
      <c r="F156" s="4"/>
      <c r="G156" s="7"/>
      <c r="H156" s="6">
        <f t="shared" si="74"/>
        <v>0</v>
      </c>
      <c r="I156" s="8"/>
      <c r="J156" s="8"/>
      <c r="K156" s="8">
        <f t="shared" si="75"/>
        <v>0</v>
      </c>
      <c r="L156" s="8">
        <f t="shared" si="67"/>
        <v>0</v>
      </c>
      <c r="M156" s="8">
        <f>IFERROR((I156+J156)*INDEX([1]Sheet1!$A$1:$A$13,MATCH((I156+J156),[1]Sheet1!$B$1:$B$13)),0)</f>
        <v>0</v>
      </c>
      <c r="N156" s="6">
        <f t="shared" si="76"/>
        <v>0</v>
      </c>
      <c r="O156" s="8"/>
      <c r="P156" s="8">
        <f t="shared" si="77"/>
        <v>0</v>
      </c>
      <c r="Q156" s="8">
        <f t="shared" si="78"/>
        <v>0</v>
      </c>
      <c r="R156" s="8">
        <f t="shared" si="68"/>
        <v>0</v>
      </c>
      <c r="S156" s="8">
        <f>IFERROR((O156+P156)*INDEX([1]Sheet1!$A$1:$A$13,MATCH((O156+P156),[1]Sheet1!$B$1:$B$13)),0)</f>
        <v>0</v>
      </c>
      <c r="T156" s="6">
        <f t="shared" si="79"/>
        <v>0</v>
      </c>
      <c r="U156" s="8"/>
      <c r="V156" s="8">
        <f t="shared" si="80"/>
        <v>0</v>
      </c>
      <c r="W156" s="8">
        <f t="shared" si="81"/>
        <v>0</v>
      </c>
      <c r="X156" s="8">
        <f t="shared" si="69"/>
        <v>0</v>
      </c>
      <c r="Y156" s="8">
        <f>IFERROR((U156+V156)*INDEX([1]Sheet1!$A$1:$A$13,MATCH((U156+V156),[1]Sheet1!$B$1:$B$13)),0)</f>
        <v>0</v>
      </c>
      <c r="Z156" s="6">
        <f t="shared" si="82"/>
        <v>0</v>
      </c>
      <c r="AA156" s="8"/>
      <c r="AB156" s="8">
        <f t="shared" si="83"/>
        <v>0</v>
      </c>
      <c r="AC156" s="8">
        <f t="shared" si="84"/>
        <v>0</v>
      </c>
      <c r="AD156" s="8">
        <f t="shared" si="70"/>
        <v>0</v>
      </c>
      <c r="AE156" s="8">
        <f>IFERROR((AA156+AB156)*INDEX([1]Sheet1!$A$1:$A$13,MATCH((AA156+AB156),[1]Sheet1!$B$1:$B$13)),0)</f>
        <v>0</v>
      </c>
      <c r="AF156" s="6">
        <f t="shared" si="85"/>
        <v>0</v>
      </c>
      <c r="AG156" s="8"/>
      <c r="AH156" s="8">
        <f t="shared" si="86"/>
        <v>0</v>
      </c>
      <c r="AI156" s="8">
        <f t="shared" si="87"/>
        <v>0</v>
      </c>
      <c r="AJ156" s="8">
        <f t="shared" si="71"/>
        <v>0</v>
      </c>
      <c r="AK156" s="8">
        <f>IFERROR((AG156+AH156)*INDEX([1]Sheet1!$A$1:$A$13,MATCH((AG156+AH156),[1]Sheet1!$B$1:$B$13)),0)</f>
        <v>0</v>
      </c>
      <c r="AL156" s="6">
        <f t="shared" si="88"/>
        <v>0</v>
      </c>
      <c r="AM156" s="8"/>
      <c r="AN156" s="8">
        <f t="shared" si="89"/>
        <v>0</v>
      </c>
      <c r="AO156" s="8">
        <f t="shared" si="90"/>
        <v>0</v>
      </c>
      <c r="AP156" s="8">
        <f t="shared" si="72"/>
        <v>0</v>
      </c>
      <c r="AQ156" s="8">
        <f>IFERROR((AM156+AN156)*INDEX([1]Sheet1!$A$1:$A$13,MATCH((AM156+AN156),[1]Sheet1!$B$1:$B$13)),0)</f>
        <v>0</v>
      </c>
      <c r="AR156" s="6">
        <f t="shared" si="91"/>
        <v>0</v>
      </c>
      <c r="AS156" s="8"/>
      <c r="AT156" s="8">
        <f t="shared" si="92"/>
        <v>0</v>
      </c>
      <c r="AU156" s="8">
        <f t="shared" si="93"/>
        <v>0</v>
      </c>
      <c r="AV156" s="8">
        <f t="shared" si="73"/>
        <v>0</v>
      </c>
      <c r="AW156" s="8">
        <f>IFERROR((AS156+AT156)*INDEX([1]Sheet1!$A$1:$A$13,MATCH((AS156+AT156),[1]Sheet1!$B$1:$B$13)),0)</f>
        <v>0</v>
      </c>
      <c r="BC156" s="1" t="str">
        <f t="shared" si="94"/>
        <v/>
      </c>
    </row>
    <row r="157" spans="1:55" ht="18" customHeight="1" x14ac:dyDescent="0.2">
      <c r="A157" s="4"/>
      <c r="B157" s="5"/>
      <c r="C157" s="6"/>
      <c r="D157" s="6"/>
      <c r="E157" s="6"/>
      <c r="F157" s="4"/>
      <c r="G157" s="7"/>
      <c r="H157" s="6">
        <f t="shared" si="74"/>
        <v>0</v>
      </c>
      <c r="I157" s="8"/>
      <c r="J157" s="8"/>
      <c r="K157" s="8">
        <f t="shared" si="75"/>
        <v>0</v>
      </c>
      <c r="L157" s="8">
        <f t="shared" si="67"/>
        <v>0</v>
      </c>
      <c r="M157" s="8">
        <f>IFERROR((I157+J157)*INDEX([1]Sheet1!$A$1:$A$13,MATCH((I157+J157),[1]Sheet1!$B$1:$B$13)),0)</f>
        <v>0</v>
      </c>
      <c r="N157" s="6">
        <f t="shared" si="76"/>
        <v>0</v>
      </c>
      <c r="O157" s="8"/>
      <c r="P157" s="8">
        <f t="shared" si="77"/>
        <v>0</v>
      </c>
      <c r="Q157" s="8">
        <f t="shared" si="78"/>
        <v>0</v>
      </c>
      <c r="R157" s="8">
        <f t="shared" si="68"/>
        <v>0</v>
      </c>
      <c r="S157" s="8">
        <f>IFERROR((O157+P157)*INDEX([1]Sheet1!$A$1:$A$13,MATCH((O157+P157),[1]Sheet1!$B$1:$B$13)),0)</f>
        <v>0</v>
      </c>
      <c r="T157" s="6">
        <f t="shared" si="79"/>
        <v>0</v>
      </c>
      <c r="U157" s="8"/>
      <c r="V157" s="8">
        <f t="shared" si="80"/>
        <v>0</v>
      </c>
      <c r="W157" s="8">
        <f t="shared" si="81"/>
        <v>0</v>
      </c>
      <c r="X157" s="8">
        <f t="shared" si="69"/>
        <v>0</v>
      </c>
      <c r="Y157" s="8">
        <f>IFERROR((U157+V157)*INDEX([1]Sheet1!$A$1:$A$13,MATCH((U157+V157),[1]Sheet1!$B$1:$B$13)),0)</f>
        <v>0</v>
      </c>
      <c r="Z157" s="6">
        <f t="shared" si="82"/>
        <v>0</v>
      </c>
      <c r="AA157" s="8"/>
      <c r="AB157" s="8">
        <f t="shared" si="83"/>
        <v>0</v>
      </c>
      <c r="AC157" s="8">
        <f t="shared" si="84"/>
        <v>0</v>
      </c>
      <c r="AD157" s="8">
        <f t="shared" si="70"/>
        <v>0</v>
      </c>
      <c r="AE157" s="8">
        <f>IFERROR((AA157+AB157)*INDEX([1]Sheet1!$A$1:$A$13,MATCH((AA157+AB157),[1]Sheet1!$B$1:$B$13)),0)</f>
        <v>0</v>
      </c>
      <c r="AF157" s="6">
        <f t="shared" si="85"/>
        <v>0</v>
      </c>
      <c r="AG157" s="8"/>
      <c r="AH157" s="8">
        <f t="shared" si="86"/>
        <v>0</v>
      </c>
      <c r="AI157" s="8">
        <f t="shared" si="87"/>
        <v>0</v>
      </c>
      <c r="AJ157" s="8">
        <f t="shared" si="71"/>
        <v>0</v>
      </c>
      <c r="AK157" s="8">
        <f>IFERROR((AG157+AH157)*INDEX([1]Sheet1!$A$1:$A$13,MATCH((AG157+AH157),[1]Sheet1!$B$1:$B$13)),0)</f>
        <v>0</v>
      </c>
      <c r="AL157" s="6">
        <f t="shared" si="88"/>
        <v>0</v>
      </c>
      <c r="AM157" s="8"/>
      <c r="AN157" s="8">
        <f t="shared" si="89"/>
        <v>0</v>
      </c>
      <c r="AO157" s="8">
        <f t="shared" si="90"/>
        <v>0</v>
      </c>
      <c r="AP157" s="8">
        <f t="shared" si="72"/>
        <v>0</v>
      </c>
      <c r="AQ157" s="8">
        <f>IFERROR((AM157+AN157)*INDEX([1]Sheet1!$A$1:$A$13,MATCH((AM157+AN157),[1]Sheet1!$B$1:$B$13)),0)</f>
        <v>0</v>
      </c>
      <c r="AR157" s="6">
        <f t="shared" si="91"/>
        <v>0</v>
      </c>
      <c r="AS157" s="8"/>
      <c r="AT157" s="8">
        <f t="shared" si="92"/>
        <v>0</v>
      </c>
      <c r="AU157" s="8">
        <f t="shared" si="93"/>
        <v>0</v>
      </c>
      <c r="AV157" s="8">
        <f t="shared" si="73"/>
        <v>0</v>
      </c>
      <c r="AW157" s="8">
        <f>IFERROR((AS157+AT157)*INDEX([1]Sheet1!$A$1:$A$13,MATCH((AS157+AT157),[1]Sheet1!$B$1:$B$13)),0)</f>
        <v>0</v>
      </c>
      <c r="BC157" s="1" t="str">
        <f t="shared" si="94"/>
        <v/>
      </c>
    </row>
    <row r="158" spans="1:55" ht="18" customHeight="1" x14ac:dyDescent="0.2">
      <c r="A158" s="4"/>
      <c r="B158" s="6"/>
      <c r="C158" s="6"/>
      <c r="D158" s="6"/>
      <c r="E158" s="6"/>
      <c r="F158" s="4"/>
      <c r="G158" s="7"/>
      <c r="H158" s="6">
        <f t="shared" si="74"/>
        <v>0</v>
      </c>
      <c r="I158" s="8"/>
      <c r="J158" s="8"/>
      <c r="K158" s="8">
        <f t="shared" si="75"/>
        <v>0</v>
      </c>
      <c r="L158" s="8">
        <f t="shared" si="67"/>
        <v>0</v>
      </c>
      <c r="M158" s="8">
        <f>IFERROR((I158+J158)*INDEX([1]Sheet1!$A$1:$A$13,MATCH((I158+J158),[1]Sheet1!$B$1:$B$13)),0)</f>
        <v>0</v>
      </c>
      <c r="N158" s="6">
        <f t="shared" si="76"/>
        <v>0</v>
      </c>
      <c r="O158" s="8"/>
      <c r="P158" s="8">
        <f t="shared" si="77"/>
        <v>0</v>
      </c>
      <c r="Q158" s="8">
        <f t="shared" si="78"/>
        <v>0</v>
      </c>
      <c r="R158" s="8">
        <f t="shared" si="68"/>
        <v>0</v>
      </c>
      <c r="S158" s="8">
        <f>IFERROR((O158+P158)*INDEX([1]Sheet1!$A$1:$A$13,MATCH((O158+P158),[1]Sheet1!$B$1:$B$13)),0)</f>
        <v>0</v>
      </c>
      <c r="T158" s="6">
        <f t="shared" si="79"/>
        <v>0</v>
      </c>
      <c r="U158" s="8"/>
      <c r="V158" s="8">
        <f t="shared" si="80"/>
        <v>0</v>
      </c>
      <c r="W158" s="8">
        <f t="shared" si="81"/>
        <v>0</v>
      </c>
      <c r="X158" s="8">
        <f t="shared" si="69"/>
        <v>0</v>
      </c>
      <c r="Y158" s="8">
        <f>IFERROR((U158+V158)*INDEX([1]Sheet1!$A$1:$A$13,MATCH((U158+V158),[1]Sheet1!$B$1:$B$13)),0)</f>
        <v>0</v>
      </c>
      <c r="Z158" s="6">
        <f t="shared" si="82"/>
        <v>0</v>
      </c>
      <c r="AA158" s="8"/>
      <c r="AB158" s="8">
        <f t="shared" si="83"/>
        <v>0</v>
      </c>
      <c r="AC158" s="8">
        <f t="shared" si="84"/>
        <v>0</v>
      </c>
      <c r="AD158" s="8">
        <f t="shared" si="70"/>
        <v>0</v>
      </c>
      <c r="AE158" s="8">
        <f>IFERROR((AA158+AB158)*INDEX([1]Sheet1!$A$1:$A$13,MATCH((AA158+AB158),[1]Sheet1!$B$1:$B$13)),0)</f>
        <v>0</v>
      </c>
      <c r="AF158" s="6">
        <f t="shared" si="85"/>
        <v>0</v>
      </c>
      <c r="AG158" s="8"/>
      <c r="AH158" s="8">
        <f t="shared" si="86"/>
        <v>0</v>
      </c>
      <c r="AI158" s="8">
        <f t="shared" si="87"/>
        <v>0</v>
      </c>
      <c r="AJ158" s="8">
        <f t="shared" si="71"/>
        <v>0</v>
      </c>
      <c r="AK158" s="8">
        <f>IFERROR((AG158+AH158)*INDEX([1]Sheet1!$A$1:$A$13,MATCH((AG158+AH158),[1]Sheet1!$B$1:$B$13)),0)</f>
        <v>0</v>
      </c>
      <c r="AL158" s="6">
        <f t="shared" si="88"/>
        <v>0</v>
      </c>
      <c r="AM158" s="8"/>
      <c r="AN158" s="8">
        <f t="shared" si="89"/>
        <v>0</v>
      </c>
      <c r="AO158" s="8">
        <f t="shared" si="90"/>
        <v>0</v>
      </c>
      <c r="AP158" s="8">
        <f t="shared" si="72"/>
        <v>0</v>
      </c>
      <c r="AQ158" s="8">
        <f>IFERROR((AM158+AN158)*INDEX([1]Sheet1!$A$1:$A$13,MATCH((AM158+AN158),[1]Sheet1!$B$1:$B$13)),0)</f>
        <v>0</v>
      </c>
      <c r="AR158" s="6">
        <f t="shared" si="91"/>
        <v>0</v>
      </c>
      <c r="AS158" s="8"/>
      <c r="AT158" s="8">
        <f t="shared" si="92"/>
        <v>0</v>
      </c>
      <c r="AU158" s="8">
        <f t="shared" si="93"/>
        <v>0</v>
      </c>
      <c r="AV158" s="8">
        <f t="shared" si="73"/>
        <v>0</v>
      </c>
      <c r="AW158" s="8">
        <f>IFERROR((AS158+AT158)*INDEX([1]Sheet1!$A$1:$A$13,MATCH((AS158+AT158),[1]Sheet1!$B$1:$B$13)),0)</f>
        <v>0</v>
      </c>
      <c r="BC158" s="1" t="str">
        <f t="shared" si="94"/>
        <v/>
      </c>
    </row>
    <row r="159" spans="1:55" ht="18" customHeight="1" x14ac:dyDescent="0.2">
      <c r="A159" s="4"/>
      <c r="B159" s="6"/>
      <c r="C159" s="6"/>
      <c r="D159" s="6"/>
      <c r="E159" s="6"/>
      <c r="F159" s="4"/>
      <c r="G159" s="7"/>
      <c r="H159" s="6">
        <f t="shared" si="74"/>
        <v>0</v>
      </c>
      <c r="I159" s="8"/>
      <c r="J159" s="8"/>
      <c r="K159" s="8">
        <f t="shared" si="75"/>
        <v>0</v>
      </c>
      <c r="L159" s="8">
        <f t="shared" si="67"/>
        <v>0</v>
      </c>
      <c r="M159" s="8">
        <f>IFERROR((I159+J159)*INDEX([1]Sheet1!$A$1:$A$13,MATCH((I159+J159),[1]Sheet1!$B$1:$B$13)),0)</f>
        <v>0</v>
      </c>
      <c r="N159" s="6">
        <f t="shared" si="76"/>
        <v>0</v>
      </c>
      <c r="O159" s="8"/>
      <c r="P159" s="8">
        <f t="shared" si="77"/>
        <v>0</v>
      </c>
      <c r="Q159" s="8">
        <f t="shared" si="78"/>
        <v>0</v>
      </c>
      <c r="R159" s="8">
        <f t="shared" si="68"/>
        <v>0</v>
      </c>
      <c r="S159" s="8">
        <f>IFERROR((O159+P159)*INDEX([1]Sheet1!$A$1:$A$13,MATCH((O159+P159),[1]Sheet1!$B$1:$B$13)),0)</f>
        <v>0</v>
      </c>
      <c r="T159" s="6">
        <f t="shared" si="79"/>
        <v>0</v>
      </c>
      <c r="U159" s="8"/>
      <c r="V159" s="8">
        <f t="shared" si="80"/>
        <v>0</v>
      </c>
      <c r="W159" s="8">
        <f t="shared" si="81"/>
        <v>0</v>
      </c>
      <c r="X159" s="8">
        <f t="shared" si="69"/>
        <v>0</v>
      </c>
      <c r="Y159" s="8">
        <f>IFERROR((U159+V159)*INDEX([1]Sheet1!$A$1:$A$13,MATCH((U159+V159),[1]Sheet1!$B$1:$B$13)),0)</f>
        <v>0</v>
      </c>
      <c r="Z159" s="6">
        <f t="shared" si="82"/>
        <v>0</v>
      </c>
      <c r="AA159" s="8"/>
      <c r="AB159" s="8">
        <f t="shared" si="83"/>
        <v>0</v>
      </c>
      <c r="AC159" s="8">
        <f t="shared" si="84"/>
        <v>0</v>
      </c>
      <c r="AD159" s="8">
        <f t="shared" si="70"/>
        <v>0</v>
      </c>
      <c r="AE159" s="8">
        <f>IFERROR((AA159+AB159)*INDEX([1]Sheet1!$A$1:$A$13,MATCH((AA159+AB159),[1]Sheet1!$B$1:$B$13)),0)</f>
        <v>0</v>
      </c>
      <c r="AF159" s="6">
        <f t="shared" si="85"/>
        <v>0</v>
      </c>
      <c r="AG159" s="8"/>
      <c r="AH159" s="8">
        <f t="shared" si="86"/>
        <v>0</v>
      </c>
      <c r="AI159" s="8">
        <f t="shared" si="87"/>
        <v>0</v>
      </c>
      <c r="AJ159" s="8">
        <f t="shared" si="71"/>
        <v>0</v>
      </c>
      <c r="AK159" s="8">
        <f>IFERROR((AG159+AH159)*INDEX([1]Sheet1!$A$1:$A$13,MATCH((AG159+AH159),[1]Sheet1!$B$1:$B$13)),0)</f>
        <v>0</v>
      </c>
      <c r="AL159" s="6">
        <f t="shared" si="88"/>
        <v>0</v>
      </c>
      <c r="AM159" s="8"/>
      <c r="AN159" s="8">
        <f t="shared" si="89"/>
        <v>0</v>
      </c>
      <c r="AO159" s="8">
        <f t="shared" si="90"/>
        <v>0</v>
      </c>
      <c r="AP159" s="8">
        <f t="shared" si="72"/>
        <v>0</v>
      </c>
      <c r="AQ159" s="8">
        <f>IFERROR((AM159+AN159)*INDEX([1]Sheet1!$A$1:$A$13,MATCH((AM159+AN159),[1]Sheet1!$B$1:$B$13)),0)</f>
        <v>0</v>
      </c>
      <c r="AR159" s="6">
        <f t="shared" si="91"/>
        <v>0</v>
      </c>
      <c r="AS159" s="8"/>
      <c r="AT159" s="8">
        <f t="shared" si="92"/>
        <v>0</v>
      </c>
      <c r="AU159" s="8">
        <f t="shared" si="93"/>
        <v>0</v>
      </c>
      <c r="AV159" s="8">
        <f t="shared" si="73"/>
        <v>0</v>
      </c>
      <c r="AW159" s="8">
        <f>IFERROR((AS159+AT159)*INDEX([1]Sheet1!$A$1:$A$13,MATCH((AS159+AT159),[1]Sheet1!$B$1:$B$13)),0)</f>
        <v>0</v>
      </c>
      <c r="BC159" s="1" t="str">
        <f t="shared" si="94"/>
        <v/>
      </c>
    </row>
    <row r="160" spans="1:55" ht="18" customHeight="1" x14ac:dyDescent="0.2">
      <c r="A160" s="4"/>
      <c r="B160" s="6"/>
      <c r="C160" s="6"/>
      <c r="D160" s="6"/>
      <c r="E160" s="6"/>
      <c r="F160" s="4"/>
      <c r="G160" s="7"/>
      <c r="H160" s="6">
        <f t="shared" si="74"/>
        <v>0</v>
      </c>
      <c r="I160" s="8"/>
      <c r="J160" s="8"/>
      <c r="K160" s="8">
        <f t="shared" si="75"/>
        <v>0</v>
      </c>
      <c r="L160" s="8">
        <f t="shared" si="67"/>
        <v>0</v>
      </c>
      <c r="M160" s="8">
        <f>IFERROR((I160+J160)*INDEX([1]Sheet1!$A$1:$A$13,MATCH((I160+J160),[1]Sheet1!$B$1:$B$13)),0)</f>
        <v>0</v>
      </c>
      <c r="N160" s="6">
        <f t="shared" si="76"/>
        <v>0</v>
      </c>
      <c r="O160" s="8"/>
      <c r="P160" s="8">
        <f t="shared" si="77"/>
        <v>0</v>
      </c>
      <c r="Q160" s="8">
        <f t="shared" si="78"/>
        <v>0</v>
      </c>
      <c r="R160" s="8">
        <f t="shared" si="68"/>
        <v>0</v>
      </c>
      <c r="S160" s="8">
        <f>IFERROR((O160+P160)*INDEX([1]Sheet1!$A$1:$A$13,MATCH((O160+P160),[1]Sheet1!$B$1:$B$13)),0)</f>
        <v>0</v>
      </c>
      <c r="T160" s="6">
        <f t="shared" si="79"/>
        <v>0</v>
      </c>
      <c r="U160" s="8"/>
      <c r="V160" s="8">
        <f t="shared" si="80"/>
        <v>0</v>
      </c>
      <c r="W160" s="8">
        <f t="shared" si="81"/>
        <v>0</v>
      </c>
      <c r="X160" s="8">
        <f t="shared" si="69"/>
        <v>0</v>
      </c>
      <c r="Y160" s="8">
        <f>IFERROR((U160+V160)*INDEX([1]Sheet1!$A$1:$A$13,MATCH((U160+V160),[1]Sheet1!$B$1:$B$13)),0)</f>
        <v>0</v>
      </c>
      <c r="Z160" s="6">
        <f t="shared" si="82"/>
        <v>0</v>
      </c>
      <c r="AA160" s="8"/>
      <c r="AB160" s="8">
        <f t="shared" si="83"/>
        <v>0</v>
      </c>
      <c r="AC160" s="8">
        <f t="shared" si="84"/>
        <v>0</v>
      </c>
      <c r="AD160" s="8">
        <f t="shared" si="70"/>
        <v>0</v>
      </c>
      <c r="AE160" s="8">
        <f>IFERROR((AA160+AB160)*INDEX([1]Sheet1!$A$1:$A$13,MATCH((AA160+AB160),[1]Sheet1!$B$1:$B$13)),0)</f>
        <v>0</v>
      </c>
      <c r="AF160" s="6">
        <f t="shared" si="85"/>
        <v>0</v>
      </c>
      <c r="AG160" s="8"/>
      <c r="AH160" s="8">
        <f t="shared" si="86"/>
        <v>0</v>
      </c>
      <c r="AI160" s="8">
        <f t="shared" si="87"/>
        <v>0</v>
      </c>
      <c r="AJ160" s="8">
        <f t="shared" si="71"/>
        <v>0</v>
      </c>
      <c r="AK160" s="8">
        <f>IFERROR((AG160+AH160)*INDEX([1]Sheet1!$A$1:$A$13,MATCH((AG160+AH160),[1]Sheet1!$B$1:$B$13)),0)</f>
        <v>0</v>
      </c>
      <c r="AL160" s="6">
        <f t="shared" si="88"/>
        <v>0</v>
      </c>
      <c r="AM160" s="8"/>
      <c r="AN160" s="8">
        <f t="shared" si="89"/>
        <v>0</v>
      </c>
      <c r="AO160" s="8">
        <f t="shared" si="90"/>
        <v>0</v>
      </c>
      <c r="AP160" s="8">
        <f t="shared" si="72"/>
        <v>0</v>
      </c>
      <c r="AQ160" s="8">
        <f>IFERROR((AM160+AN160)*INDEX([1]Sheet1!$A$1:$A$13,MATCH((AM160+AN160),[1]Sheet1!$B$1:$B$13)),0)</f>
        <v>0</v>
      </c>
      <c r="AR160" s="6">
        <f t="shared" si="91"/>
        <v>0</v>
      </c>
      <c r="AS160" s="8"/>
      <c r="AT160" s="8">
        <f t="shared" si="92"/>
        <v>0</v>
      </c>
      <c r="AU160" s="8">
        <f t="shared" si="93"/>
        <v>0</v>
      </c>
      <c r="AV160" s="8">
        <f t="shared" si="73"/>
        <v>0</v>
      </c>
      <c r="AW160" s="8">
        <f>IFERROR((AS160+AT160)*INDEX([1]Sheet1!$A$1:$A$13,MATCH((AS160+AT160),[1]Sheet1!$B$1:$B$13)),0)</f>
        <v>0</v>
      </c>
      <c r="BC160" s="1" t="str">
        <f t="shared" si="94"/>
        <v/>
      </c>
    </row>
    <row r="161" spans="1:55" ht="18" customHeight="1" x14ac:dyDescent="0.2">
      <c r="A161" s="4"/>
      <c r="B161" s="6"/>
      <c r="C161" s="6"/>
      <c r="D161" s="6"/>
      <c r="E161" s="6"/>
      <c r="F161" s="4"/>
      <c r="G161" s="7"/>
      <c r="H161" s="6">
        <f t="shared" si="74"/>
        <v>0</v>
      </c>
      <c r="I161" s="8"/>
      <c r="J161" s="8"/>
      <c r="K161" s="8">
        <f t="shared" si="75"/>
        <v>0</v>
      </c>
      <c r="L161" s="8">
        <f t="shared" si="67"/>
        <v>0</v>
      </c>
      <c r="M161" s="8">
        <f>IFERROR((I161+J161)*INDEX([1]Sheet1!$A$1:$A$13,MATCH((I161+J161),[1]Sheet1!$B$1:$B$13)),0)</f>
        <v>0</v>
      </c>
      <c r="N161" s="6">
        <f t="shared" si="76"/>
        <v>0</v>
      </c>
      <c r="O161" s="8"/>
      <c r="P161" s="8">
        <f t="shared" si="77"/>
        <v>0</v>
      </c>
      <c r="Q161" s="8">
        <f t="shared" si="78"/>
        <v>0</v>
      </c>
      <c r="R161" s="8">
        <f t="shared" si="68"/>
        <v>0</v>
      </c>
      <c r="S161" s="8">
        <f>IFERROR((O161+P161)*INDEX([1]Sheet1!$A$1:$A$13,MATCH((O161+P161),[1]Sheet1!$B$1:$B$13)),0)</f>
        <v>0</v>
      </c>
      <c r="T161" s="6">
        <f t="shared" si="79"/>
        <v>0</v>
      </c>
      <c r="U161" s="8"/>
      <c r="V161" s="8">
        <f t="shared" si="80"/>
        <v>0</v>
      </c>
      <c r="W161" s="8">
        <f t="shared" si="81"/>
        <v>0</v>
      </c>
      <c r="X161" s="8">
        <f t="shared" si="69"/>
        <v>0</v>
      </c>
      <c r="Y161" s="8">
        <f>IFERROR((U161+V161)*INDEX([1]Sheet1!$A$1:$A$13,MATCH((U161+V161),[1]Sheet1!$B$1:$B$13)),0)</f>
        <v>0</v>
      </c>
      <c r="Z161" s="6">
        <f t="shared" si="82"/>
        <v>0</v>
      </c>
      <c r="AA161" s="8"/>
      <c r="AB161" s="8">
        <f t="shared" si="83"/>
        <v>0</v>
      </c>
      <c r="AC161" s="8">
        <f t="shared" si="84"/>
        <v>0</v>
      </c>
      <c r="AD161" s="8">
        <f t="shared" si="70"/>
        <v>0</v>
      </c>
      <c r="AE161" s="8">
        <f>IFERROR((AA161+AB161)*INDEX([1]Sheet1!$A$1:$A$13,MATCH((AA161+AB161),[1]Sheet1!$B$1:$B$13)),0)</f>
        <v>0</v>
      </c>
      <c r="AF161" s="6">
        <f t="shared" si="85"/>
        <v>0</v>
      </c>
      <c r="AG161" s="8"/>
      <c r="AH161" s="8">
        <f t="shared" si="86"/>
        <v>0</v>
      </c>
      <c r="AI161" s="8">
        <f t="shared" si="87"/>
        <v>0</v>
      </c>
      <c r="AJ161" s="8">
        <f t="shared" si="71"/>
        <v>0</v>
      </c>
      <c r="AK161" s="8">
        <f>IFERROR((AG161+AH161)*INDEX([1]Sheet1!$A$1:$A$13,MATCH((AG161+AH161),[1]Sheet1!$B$1:$B$13)),0)</f>
        <v>0</v>
      </c>
      <c r="AL161" s="6">
        <f t="shared" si="88"/>
        <v>0</v>
      </c>
      <c r="AM161" s="8"/>
      <c r="AN161" s="8">
        <f t="shared" si="89"/>
        <v>0</v>
      </c>
      <c r="AO161" s="8">
        <f t="shared" si="90"/>
        <v>0</v>
      </c>
      <c r="AP161" s="8">
        <f t="shared" si="72"/>
        <v>0</v>
      </c>
      <c r="AQ161" s="8">
        <f>IFERROR((AM161+AN161)*INDEX([1]Sheet1!$A$1:$A$13,MATCH((AM161+AN161),[1]Sheet1!$B$1:$B$13)),0)</f>
        <v>0</v>
      </c>
      <c r="AR161" s="6">
        <f t="shared" si="91"/>
        <v>0</v>
      </c>
      <c r="AS161" s="8"/>
      <c r="AT161" s="8">
        <f t="shared" si="92"/>
        <v>0</v>
      </c>
      <c r="AU161" s="8">
        <f t="shared" si="93"/>
        <v>0</v>
      </c>
      <c r="AV161" s="8">
        <f t="shared" si="73"/>
        <v>0</v>
      </c>
      <c r="AW161" s="8">
        <f>IFERROR((AS161+AT161)*INDEX([1]Sheet1!$A$1:$A$13,MATCH((AS161+AT161),[1]Sheet1!$B$1:$B$13)),0)</f>
        <v>0</v>
      </c>
      <c r="BC161" s="1" t="str">
        <f t="shared" si="94"/>
        <v/>
      </c>
    </row>
    <row r="162" spans="1:55" ht="18" customHeight="1" x14ac:dyDescent="0.2">
      <c r="A162" s="4"/>
      <c r="B162" s="9"/>
      <c r="C162" s="6"/>
      <c r="D162" s="6"/>
      <c r="E162" s="6"/>
      <c r="F162" s="4"/>
      <c r="G162" s="7"/>
      <c r="H162" s="6">
        <f t="shared" si="74"/>
        <v>0</v>
      </c>
      <c r="I162" s="8"/>
      <c r="J162" s="8"/>
      <c r="K162" s="8">
        <f t="shared" si="75"/>
        <v>0</v>
      </c>
      <c r="L162" s="8">
        <f t="shared" si="67"/>
        <v>0</v>
      </c>
      <c r="M162" s="8">
        <f>IFERROR((I162+J162)*INDEX([1]Sheet1!$A$1:$A$13,MATCH((I162+J162),[1]Sheet1!$B$1:$B$13)),0)</f>
        <v>0</v>
      </c>
      <c r="N162" s="6">
        <f t="shared" si="76"/>
        <v>0</v>
      </c>
      <c r="O162" s="8"/>
      <c r="P162" s="8">
        <f t="shared" si="77"/>
        <v>0</v>
      </c>
      <c r="Q162" s="8">
        <f t="shared" si="78"/>
        <v>0</v>
      </c>
      <c r="R162" s="8">
        <f t="shared" si="68"/>
        <v>0</v>
      </c>
      <c r="S162" s="8">
        <f>IFERROR((O162+P162)*INDEX([1]Sheet1!$A$1:$A$13,MATCH((O162+P162),[1]Sheet1!$B$1:$B$13)),0)</f>
        <v>0</v>
      </c>
      <c r="T162" s="6">
        <f t="shared" si="79"/>
        <v>0</v>
      </c>
      <c r="U162" s="8"/>
      <c r="V162" s="8">
        <f t="shared" si="80"/>
        <v>0</v>
      </c>
      <c r="W162" s="8">
        <f t="shared" si="81"/>
        <v>0</v>
      </c>
      <c r="X162" s="8">
        <f t="shared" si="69"/>
        <v>0</v>
      </c>
      <c r="Y162" s="8">
        <f>IFERROR((U162+V162)*INDEX([1]Sheet1!$A$1:$A$13,MATCH((U162+V162),[1]Sheet1!$B$1:$B$13)),0)</f>
        <v>0</v>
      </c>
      <c r="Z162" s="6">
        <f t="shared" si="82"/>
        <v>0</v>
      </c>
      <c r="AA162" s="8"/>
      <c r="AB162" s="8">
        <f t="shared" si="83"/>
        <v>0</v>
      </c>
      <c r="AC162" s="8">
        <f t="shared" si="84"/>
        <v>0</v>
      </c>
      <c r="AD162" s="8">
        <f t="shared" si="70"/>
        <v>0</v>
      </c>
      <c r="AE162" s="8">
        <f>IFERROR((AA162+AB162)*INDEX([1]Sheet1!$A$1:$A$13,MATCH((AA162+AB162),[1]Sheet1!$B$1:$B$13)),0)</f>
        <v>0</v>
      </c>
      <c r="AF162" s="6">
        <f t="shared" si="85"/>
        <v>0</v>
      </c>
      <c r="AG162" s="8"/>
      <c r="AH162" s="8">
        <f t="shared" si="86"/>
        <v>0</v>
      </c>
      <c r="AI162" s="8">
        <f t="shared" si="87"/>
        <v>0</v>
      </c>
      <c r="AJ162" s="8">
        <f t="shared" si="71"/>
        <v>0</v>
      </c>
      <c r="AK162" s="8">
        <f>IFERROR((AG162+AH162)*INDEX([1]Sheet1!$A$1:$A$13,MATCH((AG162+AH162),[1]Sheet1!$B$1:$B$13)),0)</f>
        <v>0</v>
      </c>
      <c r="AL162" s="6">
        <f t="shared" si="88"/>
        <v>0</v>
      </c>
      <c r="AM162" s="8"/>
      <c r="AN162" s="8">
        <f t="shared" si="89"/>
        <v>0</v>
      </c>
      <c r="AO162" s="8">
        <f t="shared" si="90"/>
        <v>0</v>
      </c>
      <c r="AP162" s="8">
        <f t="shared" si="72"/>
        <v>0</v>
      </c>
      <c r="AQ162" s="8">
        <f>IFERROR((AM162+AN162)*INDEX([1]Sheet1!$A$1:$A$13,MATCH((AM162+AN162),[1]Sheet1!$B$1:$B$13)),0)</f>
        <v>0</v>
      </c>
      <c r="AR162" s="6">
        <f t="shared" si="91"/>
        <v>0</v>
      </c>
      <c r="AS162" s="8"/>
      <c r="AT162" s="8">
        <f t="shared" si="92"/>
        <v>0</v>
      </c>
      <c r="AU162" s="8">
        <f t="shared" si="93"/>
        <v>0</v>
      </c>
      <c r="AV162" s="8">
        <f t="shared" si="73"/>
        <v>0</v>
      </c>
      <c r="AW162" s="8">
        <f>IFERROR((AS162+AT162)*INDEX([1]Sheet1!$A$1:$A$13,MATCH((AS162+AT162),[1]Sheet1!$B$1:$B$13)),0)</f>
        <v>0</v>
      </c>
      <c r="BC162" s="1" t="str">
        <f t="shared" si="94"/>
        <v/>
      </c>
    </row>
    <row r="163" spans="1:55" ht="18" customHeight="1" x14ac:dyDescent="0.2">
      <c r="A163" s="4"/>
      <c r="B163" s="6"/>
      <c r="C163" s="6"/>
      <c r="D163" s="6"/>
      <c r="E163" s="6"/>
      <c r="F163" s="4"/>
      <c r="G163" s="7"/>
      <c r="H163" s="6">
        <f t="shared" si="74"/>
        <v>0</v>
      </c>
      <c r="I163" s="8"/>
      <c r="J163" s="8"/>
      <c r="K163" s="8">
        <f t="shared" si="75"/>
        <v>0</v>
      </c>
      <c r="L163" s="8">
        <f t="shared" si="67"/>
        <v>0</v>
      </c>
      <c r="M163" s="8">
        <f>IFERROR((I163+J163)*INDEX([1]Sheet1!$A$1:$A$13,MATCH((I163+J163),[1]Sheet1!$B$1:$B$13)),0)</f>
        <v>0</v>
      </c>
      <c r="N163" s="6">
        <f t="shared" si="76"/>
        <v>0</v>
      </c>
      <c r="O163" s="8"/>
      <c r="P163" s="8">
        <f t="shared" si="77"/>
        <v>0</v>
      </c>
      <c r="Q163" s="8">
        <f t="shared" si="78"/>
        <v>0</v>
      </c>
      <c r="R163" s="8">
        <f t="shared" si="68"/>
        <v>0</v>
      </c>
      <c r="S163" s="8">
        <f>IFERROR((O163+P163)*INDEX([1]Sheet1!$A$1:$A$13,MATCH((O163+P163),[1]Sheet1!$B$1:$B$13)),0)</f>
        <v>0</v>
      </c>
      <c r="T163" s="6">
        <f t="shared" si="79"/>
        <v>0</v>
      </c>
      <c r="U163" s="8"/>
      <c r="V163" s="8">
        <f t="shared" si="80"/>
        <v>0</v>
      </c>
      <c r="W163" s="8">
        <f t="shared" si="81"/>
        <v>0</v>
      </c>
      <c r="X163" s="8">
        <f t="shared" si="69"/>
        <v>0</v>
      </c>
      <c r="Y163" s="8">
        <f>IFERROR((U163+V163)*INDEX([1]Sheet1!$A$1:$A$13,MATCH((U163+V163),[1]Sheet1!$B$1:$B$13)),0)</f>
        <v>0</v>
      </c>
      <c r="Z163" s="6">
        <f t="shared" si="82"/>
        <v>0</v>
      </c>
      <c r="AA163" s="8"/>
      <c r="AB163" s="8">
        <f t="shared" si="83"/>
        <v>0</v>
      </c>
      <c r="AC163" s="8">
        <f t="shared" si="84"/>
        <v>0</v>
      </c>
      <c r="AD163" s="8">
        <f t="shared" si="70"/>
        <v>0</v>
      </c>
      <c r="AE163" s="8">
        <f>IFERROR((AA163+AB163)*INDEX([1]Sheet1!$A$1:$A$13,MATCH((AA163+AB163),[1]Sheet1!$B$1:$B$13)),0)</f>
        <v>0</v>
      </c>
      <c r="AF163" s="6">
        <f t="shared" si="85"/>
        <v>0</v>
      </c>
      <c r="AG163" s="8"/>
      <c r="AH163" s="8">
        <f t="shared" si="86"/>
        <v>0</v>
      </c>
      <c r="AI163" s="8">
        <f t="shared" si="87"/>
        <v>0</v>
      </c>
      <c r="AJ163" s="8">
        <f t="shared" si="71"/>
        <v>0</v>
      </c>
      <c r="AK163" s="8">
        <f>IFERROR((AG163+AH163)*INDEX([1]Sheet1!$A$1:$A$13,MATCH((AG163+AH163),[1]Sheet1!$B$1:$B$13)),0)</f>
        <v>0</v>
      </c>
      <c r="AL163" s="6">
        <f t="shared" si="88"/>
        <v>0</v>
      </c>
      <c r="AM163" s="8"/>
      <c r="AN163" s="8">
        <f t="shared" si="89"/>
        <v>0</v>
      </c>
      <c r="AO163" s="8">
        <f t="shared" si="90"/>
        <v>0</v>
      </c>
      <c r="AP163" s="8">
        <f t="shared" si="72"/>
        <v>0</v>
      </c>
      <c r="AQ163" s="8">
        <f>IFERROR((AM163+AN163)*INDEX([1]Sheet1!$A$1:$A$13,MATCH((AM163+AN163),[1]Sheet1!$B$1:$B$13)),0)</f>
        <v>0</v>
      </c>
      <c r="AR163" s="6">
        <f t="shared" si="91"/>
        <v>0</v>
      </c>
      <c r="AS163" s="8"/>
      <c r="AT163" s="8">
        <f t="shared" si="92"/>
        <v>0</v>
      </c>
      <c r="AU163" s="8">
        <f t="shared" si="93"/>
        <v>0</v>
      </c>
      <c r="AV163" s="8">
        <f t="shared" si="73"/>
        <v>0</v>
      </c>
      <c r="AW163" s="8">
        <f>IFERROR((AS163+AT163)*INDEX([1]Sheet1!$A$1:$A$13,MATCH((AS163+AT163),[1]Sheet1!$B$1:$B$13)),0)</f>
        <v>0</v>
      </c>
      <c r="BC163" s="1" t="str">
        <f t="shared" si="94"/>
        <v/>
      </c>
    </row>
    <row r="164" spans="1:55" ht="18" customHeight="1" x14ac:dyDescent="0.2">
      <c r="A164" s="4"/>
      <c r="B164" s="9"/>
      <c r="C164" s="6"/>
      <c r="D164" s="6"/>
      <c r="E164" s="6"/>
      <c r="F164" s="4"/>
      <c r="G164" s="7"/>
      <c r="H164" s="6">
        <f t="shared" si="74"/>
        <v>0</v>
      </c>
      <c r="I164" s="8"/>
      <c r="J164" s="8"/>
      <c r="K164" s="8">
        <f t="shared" si="75"/>
        <v>0</v>
      </c>
      <c r="L164" s="8">
        <f t="shared" si="67"/>
        <v>0</v>
      </c>
      <c r="M164" s="8">
        <f>IFERROR((I164+J164)*INDEX([1]Sheet1!$A$1:$A$13,MATCH((I164+J164),[1]Sheet1!$B$1:$B$13)),0)</f>
        <v>0</v>
      </c>
      <c r="N164" s="6">
        <f t="shared" si="76"/>
        <v>0</v>
      </c>
      <c r="O164" s="8"/>
      <c r="P164" s="8">
        <f t="shared" si="77"/>
        <v>0</v>
      </c>
      <c r="Q164" s="8">
        <f t="shared" si="78"/>
        <v>0</v>
      </c>
      <c r="R164" s="8">
        <f t="shared" si="68"/>
        <v>0</v>
      </c>
      <c r="S164" s="8">
        <f>IFERROR((O164+P164)*INDEX([1]Sheet1!$A$1:$A$13,MATCH((O164+P164),[1]Sheet1!$B$1:$B$13)),0)</f>
        <v>0</v>
      </c>
      <c r="T164" s="6">
        <f t="shared" si="79"/>
        <v>0</v>
      </c>
      <c r="U164" s="8"/>
      <c r="V164" s="8">
        <f t="shared" si="80"/>
        <v>0</v>
      </c>
      <c r="W164" s="8">
        <f t="shared" si="81"/>
        <v>0</v>
      </c>
      <c r="X164" s="8">
        <f t="shared" si="69"/>
        <v>0</v>
      </c>
      <c r="Y164" s="8">
        <f>IFERROR((U164+V164)*INDEX([1]Sheet1!$A$1:$A$13,MATCH((U164+V164),[1]Sheet1!$B$1:$B$13)),0)</f>
        <v>0</v>
      </c>
      <c r="Z164" s="6">
        <f t="shared" si="82"/>
        <v>0</v>
      </c>
      <c r="AA164" s="8"/>
      <c r="AB164" s="8">
        <f t="shared" si="83"/>
        <v>0</v>
      </c>
      <c r="AC164" s="8">
        <f t="shared" si="84"/>
        <v>0</v>
      </c>
      <c r="AD164" s="8">
        <f t="shared" si="70"/>
        <v>0</v>
      </c>
      <c r="AE164" s="8">
        <f>IFERROR((AA164+AB164)*INDEX([1]Sheet1!$A$1:$A$13,MATCH((AA164+AB164),[1]Sheet1!$B$1:$B$13)),0)</f>
        <v>0</v>
      </c>
      <c r="AF164" s="6">
        <f t="shared" si="85"/>
        <v>0</v>
      </c>
      <c r="AG164" s="8"/>
      <c r="AH164" s="8">
        <f t="shared" si="86"/>
        <v>0</v>
      </c>
      <c r="AI164" s="8">
        <f t="shared" si="87"/>
        <v>0</v>
      </c>
      <c r="AJ164" s="8">
        <f t="shared" si="71"/>
        <v>0</v>
      </c>
      <c r="AK164" s="8">
        <f>IFERROR((AG164+AH164)*INDEX([1]Sheet1!$A$1:$A$13,MATCH((AG164+AH164),[1]Sheet1!$B$1:$B$13)),0)</f>
        <v>0</v>
      </c>
      <c r="AL164" s="6">
        <f t="shared" si="88"/>
        <v>0</v>
      </c>
      <c r="AM164" s="8"/>
      <c r="AN164" s="8">
        <f t="shared" si="89"/>
        <v>0</v>
      </c>
      <c r="AO164" s="8">
        <f t="shared" si="90"/>
        <v>0</v>
      </c>
      <c r="AP164" s="8">
        <f t="shared" si="72"/>
        <v>0</v>
      </c>
      <c r="AQ164" s="8">
        <f>IFERROR((AM164+AN164)*INDEX([1]Sheet1!$A$1:$A$13,MATCH((AM164+AN164),[1]Sheet1!$B$1:$B$13)),0)</f>
        <v>0</v>
      </c>
      <c r="AR164" s="6">
        <f t="shared" si="91"/>
        <v>0</v>
      </c>
      <c r="AS164" s="8"/>
      <c r="AT164" s="8">
        <f t="shared" si="92"/>
        <v>0</v>
      </c>
      <c r="AU164" s="8">
        <f t="shared" si="93"/>
        <v>0</v>
      </c>
      <c r="AV164" s="8">
        <f t="shared" si="73"/>
        <v>0</v>
      </c>
      <c r="AW164" s="8">
        <f>IFERROR((AS164+AT164)*INDEX([1]Sheet1!$A$1:$A$13,MATCH((AS164+AT164),[1]Sheet1!$B$1:$B$13)),0)</f>
        <v>0</v>
      </c>
      <c r="BC164" s="1" t="str">
        <f t="shared" si="94"/>
        <v/>
      </c>
    </row>
    <row r="165" spans="1:55" ht="18" customHeight="1" x14ac:dyDescent="0.2">
      <c r="A165" s="4"/>
      <c r="B165" s="6"/>
      <c r="C165" s="6"/>
      <c r="D165" s="6"/>
      <c r="E165" s="6"/>
      <c r="F165" s="4"/>
      <c r="G165" s="7"/>
      <c r="H165" s="6">
        <f t="shared" si="74"/>
        <v>0</v>
      </c>
      <c r="I165" s="8"/>
      <c r="J165" s="8"/>
      <c r="K165" s="8">
        <f t="shared" si="75"/>
        <v>0</v>
      </c>
      <c r="L165" s="8">
        <f t="shared" si="67"/>
        <v>0</v>
      </c>
      <c r="M165" s="8">
        <f>IFERROR((I165+J165)*INDEX([1]Sheet1!$A$1:$A$13,MATCH((I165+J165),[1]Sheet1!$B$1:$B$13)),0)</f>
        <v>0</v>
      </c>
      <c r="N165" s="6">
        <f t="shared" si="76"/>
        <v>0</v>
      </c>
      <c r="O165" s="8"/>
      <c r="P165" s="8">
        <f t="shared" si="77"/>
        <v>0</v>
      </c>
      <c r="Q165" s="8">
        <f t="shared" si="78"/>
        <v>0</v>
      </c>
      <c r="R165" s="8">
        <f t="shared" si="68"/>
        <v>0</v>
      </c>
      <c r="S165" s="8">
        <f>IFERROR((O165+P165)*INDEX([1]Sheet1!$A$1:$A$13,MATCH((O165+P165),[1]Sheet1!$B$1:$B$13)),0)</f>
        <v>0</v>
      </c>
      <c r="T165" s="6">
        <f t="shared" si="79"/>
        <v>0</v>
      </c>
      <c r="U165" s="8"/>
      <c r="V165" s="8">
        <f t="shared" si="80"/>
        <v>0</v>
      </c>
      <c r="W165" s="8">
        <f t="shared" si="81"/>
        <v>0</v>
      </c>
      <c r="X165" s="8">
        <f t="shared" si="69"/>
        <v>0</v>
      </c>
      <c r="Y165" s="8">
        <f>IFERROR((U165+V165)*INDEX([1]Sheet1!$A$1:$A$13,MATCH((U165+V165),[1]Sheet1!$B$1:$B$13)),0)</f>
        <v>0</v>
      </c>
      <c r="Z165" s="6">
        <f t="shared" si="82"/>
        <v>0</v>
      </c>
      <c r="AA165" s="8"/>
      <c r="AB165" s="8">
        <f t="shared" si="83"/>
        <v>0</v>
      </c>
      <c r="AC165" s="8">
        <f t="shared" si="84"/>
        <v>0</v>
      </c>
      <c r="AD165" s="8">
        <f t="shared" si="70"/>
        <v>0</v>
      </c>
      <c r="AE165" s="8">
        <f>IFERROR((AA165+AB165)*INDEX([1]Sheet1!$A$1:$A$13,MATCH((AA165+AB165),[1]Sheet1!$B$1:$B$13)),0)</f>
        <v>0</v>
      </c>
      <c r="AF165" s="6">
        <f t="shared" si="85"/>
        <v>0</v>
      </c>
      <c r="AG165" s="8"/>
      <c r="AH165" s="8">
        <f t="shared" si="86"/>
        <v>0</v>
      </c>
      <c r="AI165" s="8">
        <f t="shared" si="87"/>
        <v>0</v>
      </c>
      <c r="AJ165" s="8">
        <f t="shared" si="71"/>
        <v>0</v>
      </c>
      <c r="AK165" s="8">
        <f>IFERROR((AG165+AH165)*INDEX([1]Sheet1!$A$1:$A$13,MATCH((AG165+AH165),[1]Sheet1!$B$1:$B$13)),0)</f>
        <v>0</v>
      </c>
      <c r="AL165" s="6">
        <f t="shared" si="88"/>
        <v>0</v>
      </c>
      <c r="AM165" s="8"/>
      <c r="AN165" s="8">
        <f t="shared" si="89"/>
        <v>0</v>
      </c>
      <c r="AO165" s="8">
        <f t="shared" si="90"/>
        <v>0</v>
      </c>
      <c r="AP165" s="8">
        <f t="shared" si="72"/>
        <v>0</v>
      </c>
      <c r="AQ165" s="8">
        <f>IFERROR((AM165+AN165)*INDEX([1]Sheet1!$A$1:$A$13,MATCH((AM165+AN165),[1]Sheet1!$B$1:$B$13)),0)</f>
        <v>0</v>
      </c>
      <c r="AR165" s="6">
        <f t="shared" si="91"/>
        <v>0</v>
      </c>
      <c r="AS165" s="8"/>
      <c r="AT165" s="8">
        <f t="shared" si="92"/>
        <v>0</v>
      </c>
      <c r="AU165" s="8">
        <f t="shared" si="93"/>
        <v>0</v>
      </c>
      <c r="AV165" s="8">
        <f t="shared" si="73"/>
        <v>0</v>
      </c>
      <c r="AW165" s="8">
        <f>IFERROR((AS165+AT165)*INDEX([1]Sheet1!$A$1:$A$13,MATCH((AS165+AT165),[1]Sheet1!$B$1:$B$13)),0)</f>
        <v>0</v>
      </c>
      <c r="BC165" s="1" t="str">
        <f t="shared" si="94"/>
        <v/>
      </c>
    </row>
    <row r="166" spans="1:55" ht="18" customHeight="1" x14ac:dyDescent="0.2">
      <c r="A166" s="4"/>
      <c r="B166" s="6"/>
      <c r="C166" s="6"/>
      <c r="D166" s="6"/>
      <c r="E166" s="6"/>
      <c r="F166" s="4"/>
      <c r="G166" s="7"/>
      <c r="H166" s="6">
        <f t="shared" si="74"/>
        <v>0</v>
      </c>
      <c r="I166" s="8"/>
      <c r="J166" s="8"/>
      <c r="K166" s="8">
        <f t="shared" si="75"/>
        <v>0</v>
      </c>
      <c r="L166" s="8">
        <f t="shared" si="67"/>
        <v>0</v>
      </c>
      <c r="M166" s="8">
        <f>IFERROR((I166+J166)*INDEX([1]Sheet1!$A$1:$A$13,MATCH((I166+J166),[1]Sheet1!$B$1:$B$13)),0)</f>
        <v>0</v>
      </c>
      <c r="N166" s="6">
        <f t="shared" si="76"/>
        <v>0</v>
      </c>
      <c r="O166" s="8"/>
      <c r="P166" s="8">
        <f t="shared" si="77"/>
        <v>0</v>
      </c>
      <c r="Q166" s="8">
        <f t="shared" si="78"/>
        <v>0</v>
      </c>
      <c r="R166" s="8">
        <f t="shared" si="68"/>
        <v>0</v>
      </c>
      <c r="S166" s="8">
        <f>IFERROR((O166+P166)*INDEX([1]Sheet1!$A$1:$A$13,MATCH((O166+P166),[1]Sheet1!$B$1:$B$13)),0)</f>
        <v>0</v>
      </c>
      <c r="T166" s="6">
        <f t="shared" si="79"/>
        <v>0</v>
      </c>
      <c r="U166" s="8"/>
      <c r="V166" s="8">
        <f t="shared" si="80"/>
        <v>0</v>
      </c>
      <c r="W166" s="8">
        <f t="shared" si="81"/>
        <v>0</v>
      </c>
      <c r="X166" s="8">
        <f t="shared" si="69"/>
        <v>0</v>
      </c>
      <c r="Y166" s="8">
        <f>IFERROR((U166+V166)*INDEX([1]Sheet1!$A$1:$A$13,MATCH((U166+V166),[1]Sheet1!$B$1:$B$13)),0)</f>
        <v>0</v>
      </c>
      <c r="Z166" s="6">
        <f t="shared" si="82"/>
        <v>0</v>
      </c>
      <c r="AA166" s="8"/>
      <c r="AB166" s="8">
        <f t="shared" si="83"/>
        <v>0</v>
      </c>
      <c r="AC166" s="8">
        <f t="shared" si="84"/>
        <v>0</v>
      </c>
      <c r="AD166" s="8">
        <f t="shared" si="70"/>
        <v>0</v>
      </c>
      <c r="AE166" s="8">
        <f>IFERROR((AA166+AB166)*INDEX([1]Sheet1!$A$1:$A$13,MATCH((AA166+AB166),[1]Sheet1!$B$1:$B$13)),0)</f>
        <v>0</v>
      </c>
      <c r="AF166" s="6">
        <f t="shared" si="85"/>
        <v>0</v>
      </c>
      <c r="AG166" s="8"/>
      <c r="AH166" s="8">
        <f t="shared" si="86"/>
        <v>0</v>
      </c>
      <c r="AI166" s="8">
        <f t="shared" si="87"/>
        <v>0</v>
      </c>
      <c r="AJ166" s="8">
        <f t="shared" si="71"/>
        <v>0</v>
      </c>
      <c r="AK166" s="8">
        <f>IFERROR((AG166+AH166)*INDEX([1]Sheet1!$A$1:$A$13,MATCH((AG166+AH166),[1]Sheet1!$B$1:$B$13)),0)</f>
        <v>0</v>
      </c>
      <c r="AL166" s="6">
        <f t="shared" si="88"/>
        <v>0</v>
      </c>
      <c r="AM166" s="8"/>
      <c r="AN166" s="8">
        <f t="shared" si="89"/>
        <v>0</v>
      </c>
      <c r="AO166" s="8">
        <f t="shared" si="90"/>
        <v>0</v>
      </c>
      <c r="AP166" s="8">
        <f t="shared" si="72"/>
        <v>0</v>
      </c>
      <c r="AQ166" s="8">
        <f>IFERROR((AM166+AN166)*INDEX([1]Sheet1!$A$1:$A$13,MATCH((AM166+AN166),[1]Sheet1!$B$1:$B$13)),0)</f>
        <v>0</v>
      </c>
      <c r="AR166" s="6">
        <f t="shared" si="91"/>
        <v>0</v>
      </c>
      <c r="AS166" s="8"/>
      <c r="AT166" s="8">
        <f t="shared" si="92"/>
        <v>0</v>
      </c>
      <c r="AU166" s="8">
        <f t="shared" si="93"/>
        <v>0</v>
      </c>
      <c r="AV166" s="8">
        <f t="shared" si="73"/>
        <v>0</v>
      </c>
      <c r="AW166" s="8">
        <f>IFERROR((AS166+AT166)*INDEX([1]Sheet1!$A$1:$A$13,MATCH((AS166+AT166),[1]Sheet1!$B$1:$B$13)),0)</f>
        <v>0</v>
      </c>
      <c r="BC166" s="1" t="str">
        <f t="shared" si="94"/>
        <v/>
      </c>
    </row>
    <row r="167" spans="1:55" ht="18" customHeight="1" x14ac:dyDescent="0.2">
      <c r="A167" s="4"/>
      <c r="B167" s="6"/>
      <c r="C167" s="6"/>
      <c r="D167" s="6"/>
      <c r="E167" s="6"/>
      <c r="F167" s="4"/>
      <c r="G167" s="7"/>
      <c r="H167" s="6">
        <f t="shared" si="74"/>
        <v>0</v>
      </c>
      <c r="I167" s="8"/>
      <c r="J167" s="8"/>
      <c r="K167" s="8">
        <f t="shared" si="75"/>
        <v>0</v>
      </c>
      <c r="L167" s="8">
        <f t="shared" si="39"/>
        <v>0</v>
      </c>
      <c r="M167" s="8">
        <f>IFERROR((I167+J167)*INDEX([1]Sheet1!$A$1:$A$13,MATCH((I167+J167),[1]Sheet1!$B$1:$B$13)),0)</f>
        <v>0</v>
      </c>
      <c r="N167" s="6">
        <f t="shared" si="76"/>
        <v>0</v>
      </c>
      <c r="O167" s="8"/>
      <c r="P167" s="8">
        <f t="shared" si="77"/>
        <v>0</v>
      </c>
      <c r="Q167" s="8">
        <f t="shared" si="78"/>
        <v>0</v>
      </c>
      <c r="R167" s="8">
        <f t="shared" si="40"/>
        <v>0</v>
      </c>
      <c r="S167" s="8">
        <f>IFERROR((O167+P167)*INDEX([1]Sheet1!$A$1:$A$13,MATCH((O167+P167),[1]Sheet1!$B$1:$B$13)),0)</f>
        <v>0</v>
      </c>
      <c r="T167" s="6">
        <f t="shared" si="79"/>
        <v>0</v>
      </c>
      <c r="U167" s="8"/>
      <c r="V167" s="8">
        <f t="shared" si="80"/>
        <v>0</v>
      </c>
      <c r="W167" s="8">
        <f t="shared" si="81"/>
        <v>0</v>
      </c>
      <c r="X167" s="8">
        <f t="shared" si="41"/>
        <v>0</v>
      </c>
      <c r="Y167" s="8">
        <f>IFERROR((U167+V167)*INDEX([1]Sheet1!$A$1:$A$13,MATCH((U167+V167),[1]Sheet1!$B$1:$B$13)),0)</f>
        <v>0</v>
      </c>
      <c r="Z167" s="6">
        <f t="shared" si="82"/>
        <v>0</v>
      </c>
      <c r="AA167" s="8"/>
      <c r="AB167" s="8">
        <f t="shared" si="83"/>
        <v>0</v>
      </c>
      <c r="AC167" s="8">
        <f t="shared" si="84"/>
        <v>0</v>
      </c>
      <c r="AD167" s="8">
        <f t="shared" si="42"/>
        <v>0</v>
      </c>
      <c r="AE167" s="8">
        <f>IFERROR((AA167+AB167)*INDEX([1]Sheet1!$A$1:$A$13,MATCH((AA167+AB167),[1]Sheet1!$B$1:$B$13)),0)</f>
        <v>0</v>
      </c>
      <c r="AF167" s="6">
        <f t="shared" si="85"/>
        <v>0</v>
      </c>
      <c r="AG167" s="8"/>
      <c r="AH167" s="8">
        <f t="shared" si="86"/>
        <v>0</v>
      </c>
      <c r="AI167" s="8">
        <f t="shared" si="87"/>
        <v>0</v>
      </c>
      <c r="AJ167" s="8">
        <f t="shared" si="43"/>
        <v>0</v>
      </c>
      <c r="AK167" s="8">
        <f>IFERROR((AG167+AH167)*INDEX([1]Sheet1!$A$1:$A$13,MATCH((AG167+AH167),[1]Sheet1!$B$1:$B$13)),0)</f>
        <v>0</v>
      </c>
      <c r="AL167" s="6">
        <f t="shared" si="88"/>
        <v>0</v>
      </c>
      <c r="AM167" s="8"/>
      <c r="AN167" s="8">
        <f t="shared" si="89"/>
        <v>0</v>
      </c>
      <c r="AO167" s="8">
        <f t="shared" si="90"/>
        <v>0</v>
      </c>
      <c r="AP167" s="8">
        <f t="shared" si="44"/>
        <v>0</v>
      </c>
      <c r="AQ167" s="8">
        <f>IFERROR((AM167+AN167)*INDEX([1]Sheet1!$A$1:$A$13,MATCH((AM167+AN167),[1]Sheet1!$B$1:$B$13)),0)</f>
        <v>0</v>
      </c>
      <c r="AR167" s="6">
        <f t="shared" si="91"/>
        <v>0</v>
      </c>
      <c r="AS167" s="8"/>
      <c r="AT167" s="8">
        <f t="shared" si="92"/>
        <v>0</v>
      </c>
      <c r="AU167" s="8">
        <f t="shared" si="93"/>
        <v>0</v>
      </c>
      <c r="AV167" s="8">
        <f t="shared" si="45"/>
        <v>0</v>
      </c>
      <c r="AW167" s="8">
        <f>IFERROR((AS167+AT167)*INDEX([1]Sheet1!$A$1:$A$13,MATCH((AS167+AT167),[1]Sheet1!$B$1:$B$13)),0)</f>
        <v>0</v>
      </c>
      <c r="BC167" s="1" t="str">
        <f t="shared" si="94"/>
        <v/>
      </c>
    </row>
    <row r="168" spans="1:55" ht="18" customHeight="1" x14ac:dyDescent="0.2">
      <c r="A168" s="4"/>
      <c r="B168" s="5"/>
      <c r="C168" s="6"/>
      <c r="D168" s="6"/>
      <c r="E168" s="6"/>
      <c r="F168" s="4"/>
      <c r="G168" s="7"/>
      <c r="H168" s="6">
        <f t="shared" si="74"/>
        <v>0</v>
      </c>
      <c r="I168" s="8"/>
      <c r="J168" s="8"/>
      <c r="K168" s="8">
        <f t="shared" si="75"/>
        <v>0</v>
      </c>
      <c r="L168" s="8">
        <f t="shared" si="36"/>
        <v>0</v>
      </c>
      <c r="M168" s="8">
        <f>IFERROR((I168+J168)*INDEX([1]Sheet1!$A$1:$A$13,MATCH((I168+J168),[1]Sheet1!$B$1:$B$13)),0)</f>
        <v>0</v>
      </c>
      <c r="N168" s="6">
        <f t="shared" si="76"/>
        <v>0</v>
      </c>
      <c r="O168" s="8"/>
      <c r="P168" s="8">
        <f t="shared" si="77"/>
        <v>0</v>
      </c>
      <c r="Q168" s="8">
        <f t="shared" si="78"/>
        <v>0</v>
      </c>
      <c r="R168" s="8">
        <f t="shared" si="16"/>
        <v>0</v>
      </c>
      <c r="S168" s="8">
        <f>IFERROR((O168+P168)*INDEX([1]Sheet1!$A$1:$A$13,MATCH((O168+P168),[1]Sheet1!$B$1:$B$13)),0)</f>
        <v>0</v>
      </c>
      <c r="T168" s="6">
        <f t="shared" si="79"/>
        <v>0</v>
      </c>
      <c r="U168" s="8"/>
      <c r="V168" s="8">
        <f t="shared" si="80"/>
        <v>0</v>
      </c>
      <c r="W168" s="8">
        <f t="shared" si="81"/>
        <v>0</v>
      </c>
      <c r="X168" s="8">
        <f t="shared" si="20"/>
        <v>0</v>
      </c>
      <c r="Y168" s="8">
        <f>IFERROR((U168+V168)*INDEX([1]Sheet1!$A$1:$A$13,MATCH((U168+V168),[1]Sheet1!$B$1:$B$13)),0)</f>
        <v>0</v>
      </c>
      <c r="Z168" s="6">
        <f t="shared" si="82"/>
        <v>0</v>
      </c>
      <c r="AA168" s="8"/>
      <c r="AB168" s="8">
        <f t="shared" si="83"/>
        <v>0</v>
      </c>
      <c r="AC168" s="8">
        <f t="shared" si="84"/>
        <v>0</v>
      </c>
      <c r="AD168" s="8">
        <f t="shared" si="24"/>
        <v>0</v>
      </c>
      <c r="AE168" s="8">
        <f>IFERROR((AA168+AB168)*INDEX([1]Sheet1!$A$1:$A$13,MATCH((AA168+AB168),[1]Sheet1!$B$1:$B$13)),0)</f>
        <v>0</v>
      </c>
      <c r="AF168" s="6">
        <f t="shared" si="85"/>
        <v>0</v>
      </c>
      <c r="AG168" s="8"/>
      <c r="AH168" s="8">
        <f t="shared" si="86"/>
        <v>0</v>
      </c>
      <c r="AI168" s="8">
        <f t="shared" si="87"/>
        <v>0</v>
      </c>
      <c r="AJ168" s="8">
        <f t="shared" si="28"/>
        <v>0</v>
      </c>
      <c r="AK168" s="8">
        <f>IFERROR((AG168+AH168)*INDEX([1]Sheet1!$A$1:$A$13,MATCH((AG168+AH168),[1]Sheet1!$B$1:$B$13)),0)</f>
        <v>0</v>
      </c>
      <c r="AL168" s="6">
        <f t="shared" si="88"/>
        <v>0</v>
      </c>
      <c r="AM168" s="8"/>
      <c r="AN168" s="8">
        <f t="shared" si="89"/>
        <v>0</v>
      </c>
      <c r="AO168" s="8">
        <f t="shared" si="90"/>
        <v>0</v>
      </c>
      <c r="AP168" s="8">
        <f t="shared" si="37"/>
        <v>0</v>
      </c>
      <c r="AQ168" s="8">
        <f>IFERROR((AM168+AN168)*INDEX([1]Sheet1!$A$1:$A$13,MATCH((AM168+AN168),[1]Sheet1!$B$1:$B$13)),0)</f>
        <v>0</v>
      </c>
      <c r="AR168" s="6">
        <f t="shared" si="91"/>
        <v>0</v>
      </c>
      <c r="AS168" s="8"/>
      <c r="AT168" s="8">
        <f t="shared" si="92"/>
        <v>0</v>
      </c>
      <c r="AU168" s="8">
        <f t="shared" si="93"/>
        <v>0</v>
      </c>
      <c r="AV168" s="8">
        <f t="shared" si="38"/>
        <v>0</v>
      </c>
      <c r="AW168" s="8">
        <f>IFERROR((AS168+AT168)*INDEX([1]Sheet1!$A$1:$A$13,MATCH((AS168+AT168),[1]Sheet1!$B$1:$B$13)),0)</f>
        <v>0</v>
      </c>
      <c r="BC168" s="1" t="str">
        <f t="shared" si="94"/>
        <v/>
      </c>
    </row>
    <row r="169" spans="1:55" ht="18" customHeight="1" x14ac:dyDescent="0.2">
      <c r="A169" s="4"/>
      <c r="B169" s="5"/>
      <c r="C169" s="6"/>
      <c r="D169" s="6"/>
      <c r="E169" s="6"/>
      <c r="F169" s="4"/>
      <c r="G169" s="7"/>
      <c r="H169" s="6">
        <f t="shared" si="74"/>
        <v>0</v>
      </c>
      <c r="I169" s="8"/>
      <c r="J169" s="8"/>
      <c r="K169" s="8">
        <f t="shared" si="75"/>
        <v>0</v>
      </c>
      <c r="L169" s="8">
        <f t="shared" si="36"/>
        <v>0</v>
      </c>
      <c r="M169" s="8">
        <f>IFERROR((I169+J169)*INDEX([1]Sheet1!$A$1:$A$13,MATCH((I169+J169),[1]Sheet1!$B$1:$B$13)),0)</f>
        <v>0</v>
      </c>
      <c r="N169" s="6">
        <f t="shared" si="76"/>
        <v>0</v>
      </c>
      <c r="O169" s="8"/>
      <c r="P169" s="8">
        <f t="shared" si="77"/>
        <v>0</v>
      </c>
      <c r="Q169" s="8">
        <f t="shared" si="78"/>
        <v>0</v>
      </c>
      <c r="R169" s="8">
        <f t="shared" si="16"/>
        <v>0</v>
      </c>
      <c r="S169" s="8">
        <f>IFERROR((O169+P169)*INDEX([1]Sheet1!$A$1:$A$13,MATCH((O169+P169),[1]Sheet1!$B$1:$B$13)),0)</f>
        <v>0</v>
      </c>
      <c r="T169" s="6">
        <f t="shared" si="79"/>
        <v>0</v>
      </c>
      <c r="U169" s="8"/>
      <c r="V169" s="8">
        <f t="shared" si="80"/>
        <v>0</v>
      </c>
      <c r="W169" s="8">
        <f t="shared" si="81"/>
        <v>0</v>
      </c>
      <c r="X169" s="8">
        <f t="shared" si="20"/>
        <v>0</v>
      </c>
      <c r="Y169" s="8">
        <f>IFERROR((U169+V169)*INDEX([1]Sheet1!$A$1:$A$13,MATCH((U169+V169),[1]Sheet1!$B$1:$B$13)),0)</f>
        <v>0</v>
      </c>
      <c r="Z169" s="6">
        <f t="shared" si="82"/>
        <v>0</v>
      </c>
      <c r="AA169" s="8"/>
      <c r="AB169" s="8">
        <f t="shared" si="83"/>
        <v>0</v>
      </c>
      <c r="AC169" s="8">
        <f t="shared" si="84"/>
        <v>0</v>
      </c>
      <c r="AD169" s="8">
        <f t="shared" si="24"/>
        <v>0</v>
      </c>
      <c r="AE169" s="8">
        <f>IFERROR((AA169+AB169)*INDEX([1]Sheet1!$A$1:$A$13,MATCH((AA169+AB169),[1]Sheet1!$B$1:$B$13)),0)</f>
        <v>0</v>
      </c>
      <c r="AF169" s="6">
        <f t="shared" si="85"/>
        <v>0</v>
      </c>
      <c r="AG169" s="8"/>
      <c r="AH169" s="8">
        <f t="shared" si="86"/>
        <v>0</v>
      </c>
      <c r="AI169" s="8">
        <f t="shared" si="87"/>
        <v>0</v>
      </c>
      <c r="AJ169" s="8">
        <f t="shared" si="28"/>
        <v>0</v>
      </c>
      <c r="AK169" s="8">
        <f>IFERROR((AG169+AH169)*INDEX([1]Sheet1!$A$1:$A$13,MATCH((AG169+AH169),[1]Sheet1!$B$1:$B$13)),0)</f>
        <v>0</v>
      </c>
      <c r="AL169" s="6">
        <f t="shared" si="88"/>
        <v>0</v>
      </c>
      <c r="AM169" s="8"/>
      <c r="AN169" s="8">
        <f t="shared" si="89"/>
        <v>0</v>
      </c>
      <c r="AO169" s="8">
        <f t="shared" si="90"/>
        <v>0</v>
      </c>
      <c r="AP169" s="8">
        <f t="shared" si="37"/>
        <v>0</v>
      </c>
      <c r="AQ169" s="8">
        <f>IFERROR((AM169+AN169)*INDEX([1]Sheet1!$A$1:$A$13,MATCH((AM169+AN169),[1]Sheet1!$B$1:$B$13)),0)</f>
        <v>0</v>
      </c>
      <c r="AR169" s="6">
        <f t="shared" si="91"/>
        <v>0</v>
      </c>
      <c r="AS169" s="8"/>
      <c r="AT169" s="8">
        <f t="shared" si="92"/>
        <v>0</v>
      </c>
      <c r="AU169" s="8">
        <f t="shared" si="93"/>
        <v>0</v>
      </c>
      <c r="AV169" s="8">
        <f t="shared" si="38"/>
        <v>0</v>
      </c>
      <c r="AW169" s="8">
        <f>IFERROR((AS169+AT169)*INDEX([1]Sheet1!$A$1:$A$13,MATCH((AS169+AT169),[1]Sheet1!$B$1:$B$13)),0)</f>
        <v>0</v>
      </c>
      <c r="BC169" s="1" t="str">
        <f t="shared" si="94"/>
        <v/>
      </c>
    </row>
    <row r="170" spans="1:55" ht="18" customHeight="1" x14ac:dyDescent="0.2">
      <c r="A170" s="4"/>
      <c r="B170" s="5"/>
      <c r="C170" s="6"/>
      <c r="D170" s="6"/>
      <c r="E170" s="6"/>
      <c r="F170" s="4"/>
      <c r="G170" s="7"/>
      <c r="H170" s="6">
        <f t="shared" si="74"/>
        <v>0</v>
      </c>
      <c r="I170" s="8"/>
      <c r="J170" s="8"/>
      <c r="K170" s="8">
        <f t="shared" si="75"/>
        <v>0</v>
      </c>
      <c r="L170" s="8">
        <f t="shared" si="36"/>
        <v>0</v>
      </c>
      <c r="M170" s="8">
        <f>IFERROR((I170+J170)*INDEX([1]Sheet1!$A$1:$A$13,MATCH((I170+J170),[1]Sheet1!$B$1:$B$13)),0)</f>
        <v>0</v>
      </c>
      <c r="N170" s="6">
        <f t="shared" si="76"/>
        <v>0</v>
      </c>
      <c r="O170" s="8"/>
      <c r="P170" s="8">
        <f t="shared" si="77"/>
        <v>0</v>
      </c>
      <c r="Q170" s="8">
        <f t="shared" si="78"/>
        <v>0</v>
      </c>
      <c r="R170" s="8">
        <f t="shared" si="16"/>
        <v>0</v>
      </c>
      <c r="S170" s="8">
        <f>IFERROR((O170+P170)*INDEX([1]Sheet1!$A$1:$A$13,MATCH((O170+P170),[1]Sheet1!$B$1:$B$13)),0)</f>
        <v>0</v>
      </c>
      <c r="T170" s="6">
        <f t="shared" si="79"/>
        <v>0</v>
      </c>
      <c r="U170" s="8"/>
      <c r="V170" s="8">
        <f t="shared" si="80"/>
        <v>0</v>
      </c>
      <c r="W170" s="8">
        <f t="shared" si="81"/>
        <v>0</v>
      </c>
      <c r="X170" s="8">
        <f t="shared" si="20"/>
        <v>0</v>
      </c>
      <c r="Y170" s="8">
        <f>IFERROR((U170+V170)*INDEX([1]Sheet1!$A$1:$A$13,MATCH((U170+V170),[1]Sheet1!$B$1:$B$13)),0)</f>
        <v>0</v>
      </c>
      <c r="Z170" s="6">
        <f t="shared" si="82"/>
        <v>0</v>
      </c>
      <c r="AA170" s="8"/>
      <c r="AB170" s="8">
        <f t="shared" si="83"/>
        <v>0</v>
      </c>
      <c r="AC170" s="8">
        <f t="shared" si="84"/>
        <v>0</v>
      </c>
      <c r="AD170" s="8">
        <f t="shared" si="24"/>
        <v>0</v>
      </c>
      <c r="AE170" s="8">
        <f>IFERROR((AA170+AB170)*INDEX([1]Sheet1!$A$1:$A$13,MATCH((AA170+AB170),[1]Sheet1!$B$1:$B$13)),0)</f>
        <v>0</v>
      </c>
      <c r="AF170" s="6">
        <f t="shared" si="85"/>
        <v>0</v>
      </c>
      <c r="AG170" s="8"/>
      <c r="AH170" s="8">
        <f t="shared" si="86"/>
        <v>0</v>
      </c>
      <c r="AI170" s="8">
        <f t="shared" si="87"/>
        <v>0</v>
      </c>
      <c r="AJ170" s="8">
        <f t="shared" si="28"/>
        <v>0</v>
      </c>
      <c r="AK170" s="8">
        <f>IFERROR((AG170+AH170)*INDEX([1]Sheet1!$A$1:$A$13,MATCH((AG170+AH170),[1]Sheet1!$B$1:$B$13)),0)</f>
        <v>0</v>
      </c>
      <c r="AL170" s="6">
        <f t="shared" si="88"/>
        <v>0</v>
      </c>
      <c r="AM170" s="8"/>
      <c r="AN170" s="8">
        <f t="shared" si="89"/>
        <v>0</v>
      </c>
      <c r="AO170" s="8">
        <f t="shared" si="90"/>
        <v>0</v>
      </c>
      <c r="AP170" s="8">
        <f t="shared" si="37"/>
        <v>0</v>
      </c>
      <c r="AQ170" s="8">
        <f>IFERROR((AM170+AN170)*INDEX([1]Sheet1!$A$1:$A$13,MATCH((AM170+AN170),[1]Sheet1!$B$1:$B$13)),0)</f>
        <v>0</v>
      </c>
      <c r="AR170" s="6">
        <f t="shared" si="91"/>
        <v>0</v>
      </c>
      <c r="AS170" s="8"/>
      <c r="AT170" s="8">
        <f t="shared" si="92"/>
        <v>0</v>
      </c>
      <c r="AU170" s="8">
        <f t="shared" si="93"/>
        <v>0</v>
      </c>
      <c r="AV170" s="8">
        <f t="shared" si="38"/>
        <v>0</v>
      </c>
      <c r="AW170" s="8">
        <f>IFERROR((AS170+AT170)*INDEX([1]Sheet1!$A$1:$A$13,MATCH((AS170+AT170),[1]Sheet1!$B$1:$B$13)),0)</f>
        <v>0</v>
      </c>
      <c r="BC170" s="1" t="str">
        <f t="shared" si="94"/>
        <v/>
      </c>
    </row>
    <row r="171" spans="1:55" ht="18" customHeight="1" x14ac:dyDescent="0.2">
      <c r="A171" s="4"/>
      <c r="B171" s="5"/>
      <c r="C171" s="6"/>
      <c r="D171" s="6"/>
      <c r="E171" s="6"/>
      <c r="F171" s="4"/>
      <c r="G171" s="7"/>
      <c r="H171" s="6">
        <f t="shared" si="74"/>
        <v>0</v>
      </c>
      <c r="I171" s="8"/>
      <c r="J171" s="8"/>
      <c r="K171" s="8">
        <f t="shared" si="75"/>
        <v>0</v>
      </c>
      <c r="L171" s="8">
        <f t="shared" si="36"/>
        <v>0</v>
      </c>
      <c r="M171" s="8">
        <f>IFERROR((I171+J171)*INDEX([1]Sheet1!$A$1:$A$13,MATCH((I171+J171),[1]Sheet1!$B$1:$B$13)),0)</f>
        <v>0</v>
      </c>
      <c r="N171" s="6">
        <f t="shared" si="76"/>
        <v>0</v>
      </c>
      <c r="O171" s="8"/>
      <c r="P171" s="8">
        <f t="shared" si="77"/>
        <v>0</v>
      </c>
      <c r="Q171" s="8">
        <f t="shared" si="78"/>
        <v>0</v>
      </c>
      <c r="R171" s="8">
        <f t="shared" si="16"/>
        <v>0</v>
      </c>
      <c r="S171" s="8">
        <f>IFERROR((O171+P171)*INDEX([1]Sheet1!$A$1:$A$13,MATCH((O171+P171),[1]Sheet1!$B$1:$B$13)),0)</f>
        <v>0</v>
      </c>
      <c r="T171" s="6">
        <f t="shared" si="79"/>
        <v>0</v>
      </c>
      <c r="U171" s="8"/>
      <c r="V171" s="8">
        <f t="shared" si="80"/>
        <v>0</v>
      </c>
      <c r="W171" s="8">
        <f t="shared" si="81"/>
        <v>0</v>
      </c>
      <c r="X171" s="8">
        <f t="shared" si="20"/>
        <v>0</v>
      </c>
      <c r="Y171" s="8">
        <f>IFERROR((U171+V171)*INDEX([1]Sheet1!$A$1:$A$13,MATCH((U171+V171),[1]Sheet1!$B$1:$B$13)),0)</f>
        <v>0</v>
      </c>
      <c r="Z171" s="6">
        <f t="shared" si="82"/>
        <v>0</v>
      </c>
      <c r="AA171" s="8"/>
      <c r="AB171" s="8">
        <f t="shared" si="83"/>
        <v>0</v>
      </c>
      <c r="AC171" s="8">
        <f t="shared" si="84"/>
        <v>0</v>
      </c>
      <c r="AD171" s="8">
        <f t="shared" si="24"/>
        <v>0</v>
      </c>
      <c r="AE171" s="8">
        <f>IFERROR((AA171+AB171)*INDEX([1]Sheet1!$A$1:$A$13,MATCH((AA171+AB171),[1]Sheet1!$B$1:$B$13)),0)</f>
        <v>0</v>
      </c>
      <c r="AF171" s="6">
        <f t="shared" si="85"/>
        <v>0</v>
      </c>
      <c r="AG171" s="8"/>
      <c r="AH171" s="8">
        <f t="shared" si="86"/>
        <v>0</v>
      </c>
      <c r="AI171" s="8">
        <f t="shared" si="87"/>
        <v>0</v>
      </c>
      <c r="AJ171" s="8">
        <f t="shared" si="28"/>
        <v>0</v>
      </c>
      <c r="AK171" s="8">
        <f>IFERROR((AG171+AH171)*INDEX([1]Sheet1!$A$1:$A$13,MATCH((AG171+AH171),[1]Sheet1!$B$1:$B$13)),0)</f>
        <v>0</v>
      </c>
      <c r="AL171" s="6">
        <f t="shared" si="88"/>
        <v>0</v>
      </c>
      <c r="AM171" s="8"/>
      <c r="AN171" s="8">
        <f t="shared" si="89"/>
        <v>0</v>
      </c>
      <c r="AO171" s="8">
        <f t="shared" si="90"/>
        <v>0</v>
      </c>
      <c r="AP171" s="8">
        <f t="shared" si="37"/>
        <v>0</v>
      </c>
      <c r="AQ171" s="8">
        <f>IFERROR((AM171+AN171)*INDEX([1]Sheet1!$A$1:$A$13,MATCH((AM171+AN171),[1]Sheet1!$B$1:$B$13)),0)</f>
        <v>0</v>
      </c>
      <c r="AR171" s="6">
        <f t="shared" si="91"/>
        <v>0</v>
      </c>
      <c r="AS171" s="8"/>
      <c r="AT171" s="8">
        <f t="shared" si="92"/>
        <v>0</v>
      </c>
      <c r="AU171" s="8">
        <f t="shared" si="93"/>
        <v>0</v>
      </c>
      <c r="AV171" s="8">
        <f t="shared" si="38"/>
        <v>0</v>
      </c>
      <c r="AW171" s="8">
        <f>IFERROR((AS171+AT171)*INDEX([1]Sheet1!$A$1:$A$13,MATCH((AS171+AT171),[1]Sheet1!$B$1:$B$13)),0)</f>
        <v>0</v>
      </c>
      <c r="BC171" s="1" t="str">
        <f t="shared" si="94"/>
        <v/>
      </c>
    </row>
    <row r="172" spans="1:55" ht="18" customHeight="1" x14ac:dyDescent="0.2">
      <c r="A172" s="4"/>
      <c r="B172" s="5"/>
      <c r="C172" s="6"/>
      <c r="D172" s="6"/>
      <c r="E172" s="6"/>
      <c r="F172" s="4"/>
      <c r="G172" s="7"/>
      <c r="H172" s="6">
        <f t="shared" si="74"/>
        <v>0</v>
      </c>
      <c r="I172" s="8"/>
      <c r="J172" s="8"/>
      <c r="K172" s="8">
        <f t="shared" si="75"/>
        <v>0</v>
      </c>
      <c r="L172" s="8">
        <f t="shared" si="36"/>
        <v>0</v>
      </c>
      <c r="M172" s="8">
        <f>IFERROR((I172+J172)*INDEX([1]Sheet1!$A$1:$A$13,MATCH((I172+J172),[1]Sheet1!$B$1:$B$13)),0)</f>
        <v>0</v>
      </c>
      <c r="N172" s="6">
        <f t="shared" si="76"/>
        <v>0</v>
      </c>
      <c r="O172" s="8"/>
      <c r="P172" s="8">
        <f t="shared" si="77"/>
        <v>0</v>
      </c>
      <c r="Q172" s="8">
        <f t="shared" si="78"/>
        <v>0</v>
      </c>
      <c r="R172" s="8">
        <f t="shared" si="16"/>
        <v>0</v>
      </c>
      <c r="S172" s="8">
        <f>IFERROR((O172+P172)*INDEX([1]Sheet1!$A$1:$A$13,MATCH((O172+P172),[1]Sheet1!$B$1:$B$13)),0)</f>
        <v>0</v>
      </c>
      <c r="T172" s="6">
        <f t="shared" si="79"/>
        <v>0</v>
      </c>
      <c r="U172" s="8"/>
      <c r="V172" s="8">
        <f t="shared" si="80"/>
        <v>0</v>
      </c>
      <c r="W172" s="8">
        <f t="shared" si="81"/>
        <v>0</v>
      </c>
      <c r="X172" s="8">
        <f t="shared" si="20"/>
        <v>0</v>
      </c>
      <c r="Y172" s="8">
        <f>IFERROR((U172+V172)*INDEX([1]Sheet1!$A$1:$A$13,MATCH((U172+V172),[1]Sheet1!$B$1:$B$13)),0)</f>
        <v>0</v>
      </c>
      <c r="Z172" s="6">
        <f t="shared" si="82"/>
        <v>0</v>
      </c>
      <c r="AA172" s="8"/>
      <c r="AB172" s="8">
        <f t="shared" si="83"/>
        <v>0</v>
      </c>
      <c r="AC172" s="8">
        <f t="shared" si="84"/>
        <v>0</v>
      </c>
      <c r="AD172" s="8">
        <f t="shared" si="24"/>
        <v>0</v>
      </c>
      <c r="AE172" s="8">
        <f>IFERROR((AA172+AB172)*INDEX([1]Sheet1!$A$1:$A$13,MATCH((AA172+AB172),[1]Sheet1!$B$1:$B$13)),0)</f>
        <v>0</v>
      </c>
      <c r="AF172" s="6">
        <f t="shared" si="85"/>
        <v>0</v>
      </c>
      <c r="AG172" s="8"/>
      <c r="AH172" s="8">
        <f t="shared" si="86"/>
        <v>0</v>
      </c>
      <c r="AI172" s="8">
        <f t="shared" si="87"/>
        <v>0</v>
      </c>
      <c r="AJ172" s="8">
        <f t="shared" si="28"/>
        <v>0</v>
      </c>
      <c r="AK172" s="8">
        <f>IFERROR((AG172+AH172)*INDEX([1]Sheet1!$A$1:$A$13,MATCH((AG172+AH172),[1]Sheet1!$B$1:$B$13)),0)</f>
        <v>0</v>
      </c>
      <c r="AL172" s="6">
        <f t="shared" si="88"/>
        <v>0</v>
      </c>
      <c r="AM172" s="8"/>
      <c r="AN172" s="8">
        <f t="shared" si="89"/>
        <v>0</v>
      </c>
      <c r="AO172" s="8">
        <f t="shared" si="90"/>
        <v>0</v>
      </c>
      <c r="AP172" s="8">
        <f t="shared" si="37"/>
        <v>0</v>
      </c>
      <c r="AQ172" s="8">
        <f>IFERROR((AM172+AN172)*INDEX([1]Sheet1!$A$1:$A$13,MATCH((AM172+AN172),[1]Sheet1!$B$1:$B$13)),0)</f>
        <v>0</v>
      </c>
      <c r="AR172" s="6">
        <f t="shared" si="91"/>
        <v>0</v>
      </c>
      <c r="AS172" s="8"/>
      <c r="AT172" s="8">
        <f t="shared" si="92"/>
        <v>0</v>
      </c>
      <c r="AU172" s="8">
        <f t="shared" si="93"/>
        <v>0</v>
      </c>
      <c r="AV172" s="8">
        <f t="shared" si="38"/>
        <v>0</v>
      </c>
      <c r="AW172" s="8">
        <f>IFERROR((AS172+AT172)*INDEX([1]Sheet1!$A$1:$A$13,MATCH((AS172+AT172),[1]Sheet1!$B$1:$B$13)),0)</f>
        <v>0</v>
      </c>
      <c r="BC172" s="1" t="str">
        <f t="shared" si="94"/>
        <v/>
      </c>
    </row>
    <row r="173" spans="1:55" ht="18" customHeight="1" x14ac:dyDescent="0.2">
      <c r="A173" s="4"/>
      <c r="B173" s="9"/>
      <c r="C173" s="6"/>
      <c r="D173" s="6"/>
      <c r="E173" s="6"/>
      <c r="F173" s="4"/>
      <c r="G173" s="7"/>
      <c r="H173" s="6">
        <f t="shared" si="74"/>
        <v>0</v>
      </c>
      <c r="I173" s="8"/>
      <c r="J173" s="8"/>
      <c r="K173" s="8">
        <f t="shared" si="75"/>
        <v>0</v>
      </c>
      <c r="L173" s="8">
        <f t="shared" si="36"/>
        <v>0</v>
      </c>
      <c r="M173" s="8">
        <f>IFERROR((I173+J173)*INDEX([1]Sheet1!$A$1:$A$13,MATCH((I173+J173),[1]Sheet1!$B$1:$B$13)),0)</f>
        <v>0</v>
      </c>
      <c r="N173" s="6">
        <f t="shared" si="76"/>
        <v>0</v>
      </c>
      <c r="O173" s="8"/>
      <c r="P173" s="8">
        <f t="shared" si="77"/>
        <v>0</v>
      </c>
      <c r="Q173" s="8">
        <f t="shared" si="78"/>
        <v>0</v>
      </c>
      <c r="R173" s="8">
        <f t="shared" si="16"/>
        <v>0</v>
      </c>
      <c r="S173" s="8">
        <f>IFERROR((O173+P173)*INDEX([1]Sheet1!$A$1:$A$13,MATCH((O173+P173),[1]Sheet1!$B$1:$B$13)),0)</f>
        <v>0</v>
      </c>
      <c r="T173" s="6">
        <f t="shared" si="79"/>
        <v>0</v>
      </c>
      <c r="U173" s="8"/>
      <c r="V173" s="8">
        <f t="shared" si="80"/>
        <v>0</v>
      </c>
      <c r="W173" s="8">
        <f t="shared" si="81"/>
        <v>0</v>
      </c>
      <c r="X173" s="8">
        <f t="shared" si="20"/>
        <v>0</v>
      </c>
      <c r="Y173" s="8">
        <f>IFERROR((U173+V173)*INDEX([1]Sheet1!$A$1:$A$13,MATCH((U173+V173),[1]Sheet1!$B$1:$B$13)),0)</f>
        <v>0</v>
      </c>
      <c r="Z173" s="6">
        <f t="shared" si="82"/>
        <v>0</v>
      </c>
      <c r="AA173" s="8"/>
      <c r="AB173" s="8">
        <f t="shared" si="83"/>
        <v>0</v>
      </c>
      <c r="AC173" s="8">
        <f t="shared" si="84"/>
        <v>0</v>
      </c>
      <c r="AD173" s="8">
        <f t="shared" si="24"/>
        <v>0</v>
      </c>
      <c r="AE173" s="8">
        <f>IFERROR((AA173+AB173)*INDEX([1]Sheet1!$A$1:$A$13,MATCH((AA173+AB173),[1]Sheet1!$B$1:$B$13)),0)</f>
        <v>0</v>
      </c>
      <c r="AF173" s="6">
        <f t="shared" si="85"/>
        <v>0</v>
      </c>
      <c r="AG173" s="8"/>
      <c r="AH173" s="8">
        <f t="shared" si="86"/>
        <v>0</v>
      </c>
      <c r="AI173" s="8">
        <f t="shared" si="87"/>
        <v>0</v>
      </c>
      <c r="AJ173" s="8">
        <f t="shared" si="28"/>
        <v>0</v>
      </c>
      <c r="AK173" s="8">
        <f>IFERROR((AG173+AH173)*INDEX([1]Sheet1!$A$1:$A$13,MATCH((AG173+AH173),[1]Sheet1!$B$1:$B$13)),0)</f>
        <v>0</v>
      </c>
      <c r="AL173" s="6">
        <f t="shared" si="88"/>
        <v>0</v>
      </c>
      <c r="AM173" s="8"/>
      <c r="AN173" s="8">
        <f t="shared" si="89"/>
        <v>0</v>
      </c>
      <c r="AO173" s="8">
        <f t="shared" si="90"/>
        <v>0</v>
      </c>
      <c r="AP173" s="8">
        <f t="shared" si="37"/>
        <v>0</v>
      </c>
      <c r="AQ173" s="8">
        <f>IFERROR((AM173+AN173)*INDEX([1]Sheet1!$A$1:$A$13,MATCH((AM173+AN173),[1]Sheet1!$B$1:$B$13)),0)</f>
        <v>0</v>
      </c>
      <c r="AR173" s="6">
        <f t="shared" si="91"/>
        <v>0</v>
      </c>
      <c r="AS173" s="8"/>
      <c r="AT173" s="8">
        <f t="shared" si="92"/>
        <v>0</v>
      </c>
      <c r="AU173" s="8">
        <f t="shared" si="93"/>
        <v>0</v>
      </c>
      <c r="AV173" s="8">
        <f t="shared" si="38"/>
        <v>0</v>
      </c>
      <c r="AW173" s="8">
        <f>IFERROR((AS173+AT173)*INDEX([1]Sheet1!$A$1:$A$13,MATCH((AS173+AT173),[1]Sheet1!$B$1:$B$13)),0)</f>
        <v>0</v>
      </c>
      <c r="BC173" s="1" t="str">
        <f t="shared" si="94"/>
        <v/>
      </c>
    </row>
    <row r="174" spans="1:55" ht="18" customHeight="1" x14ac:dyDescent="0.2">
      <c r="A174" s="4"/>
      <c r="B174" s="9"/>
      <c r="C174" s="6"/>
      <c r="D174" s="6"/>
      <c r="E174" s="6"/>
      <c r="F174" s="4"/>
      <c r="G174" s="6"/>
      <c r="H174" s="6">
        <f t="shared" si="74"/>
        <v>0</v>
      </c>
      <c r="I174" s="8"/>
      <c r="J174" s="8"/>
      <c r="K174" s="8">
        <f t="shared" si="75"/>
        <v>0</v>
      </c>
      <c r="L174" s="8">
        <f t="shared" si="36"/>
        <v>0</v>
      </c>
      <c r="M174" s="8">
        <f>IFERROR((I174+J174)*INDEX([1]Sheet1!$A$1:$A$13,MATCH((I174+J174),[1]Sheet1!$B$1:$B$13)),0)</f>
        <v>0</v>
      </c>
      <c r="N174" s="6">
        <f t="shared" si="76"/>
        <v>0</v>
      </c>
      <c r="O174" s="8"/>
      <c r="P174" s="8">
        <f t="shared" si="77"/>
        <v>0</v>
      </c>
      <c r="Q174" s="8">
        <f t="shared" si="78"/>
        <v>0</v>
      </c>
      <c r="R174" s="8">
        <f t="shared" si="16"/>
        <v>0</v>
      </c>
      <c r="S174" s="8">
        <f>IFERROR((O174+P174)*INDEX([1]Sheet1!$A$1:$A$13,MATCH((O174+P174),[1]Sheet1!$B$1:$B$13)),0)</f>
        <v>0</v>
      </c>
      <c r="T174" s="6">
        <f t="shared" si="79"/>
        <v>0</v>
      </c>
      <c r="U174" s="8"/>
      <c r="V174" s="8">
        <f t="shared" si="80"/>
        <v>0</v>
      </c>
      <c r="W174" s="8">
        <f t="shared" si="81"/>
        <v>0</v>
      </c>
      <c r="X174" s="8">
        <f t="shared" si="20"/>
        <v>0</v>
      </c>
      <c r="Y174" s="8">
        <f>IFERROR((U174+V174)*INDEX([1]Sheet1!$A$1:$A$13,MATCH((U174+V174),[1]Sheet1!$B$1:$B$13)),0)</f>
        <v>0</v>
      </c>
      <c r="Z174" s="6">
        <f t="shared" si="82"/>
        <v>0</v>
      </c>
      <c r="AA174" s="8"/>
      <c r="AB174" s="8">
        <f t="shared" si="83"/>
        <v>0</v>
      </c>
      <c r="AC174" s="8">
        <f t="shared" si="84"/>
        <v>0</v>
      </c>
      <c r="AD174" s="8">
        <f t="shared" si="24"/>
        <v>0</v>
      </c>
      <c r="AE174" s="8">
        <f>IFERROR((AA174+AB174)*INDEX([1]Sheet1!$A$1:$A$13,MATCH((AA174+AB174),[1]Sheet1!$B$1:$B$13)),0)</f>
        <v>0</v>
      </c>
      <c r="AF174" s="6">
        <f t="shared" si="85"/>
        <v>0</v>
      </c>
      <c r="AG174" s="8"/>
      <c r="AH174" s="8">
        <f t="shared" si="86"/>
        <v>0</v>
      </c>
      <c r="AI174" s="8">
        <f t="shared" si="87"/>
        <v>0</v>
      </c>
      <c r="AJ174" s="8">
        <f t="shared" si="28"/>
        <v>0</v>
      </c>
      <c r="AK174" s="8">
        <f>IFERROR((AG174+AH174)*INDEX([1]Sheet1!$A$1:$A$13,MATCH((AG174+AH174),[1]Sheet1!$B$1:$B$13)),0)</f>
        <v>0</v>
      </c>
      <c r="AL174" s="6">
        <f t="shared" si="88"/>
        <v>0</v>
      </c>
      <c r="AM174" s="8"/>
      <c r="AN174" s="8">
        <f t="shared" si="89"/>
        <v>0</v>
      </c>
      <c r="AO174" s="8">
        <f t="shared" si="90"/>
        <v>0</v>
      </c>
      <c r="AP174" s="8">
        <f t="shared" si="37"/>
        <v>0</v>
      </c>
      <c r="AQ174" s="8">
        <f>IFERROR((AM174+AN174)*INDEX([1]Sheet1!$A$1:$A$13,MATCH((AM174+AN174),[1]Sheet1!$B$1:$B$13)),0)</f>
        <v>0</v>
      </c>
      <c r="AR174" s="6">
        <f t="shared" si="91"/>
        <v>0</v>
      </c>
      <c r="AS174" s="8"/>
      <c r="AT174" s="8">
        <f t="shared" si="92"/>
        <v>0</v>
      </c>
      <c r="AU174" s="8">
        <f t="shared" si="93"/>
        <v>0</v>
      </c>
      <c r="AV174" s="8">
        <f t="shared" si="38"/>
        <v>0</v>
      </c>
      <c r="AW174" s="8">
        <f>IFERROR((AS174+AT174)*INDEX([1]Sheet1!$A$1:$A$13,MATCH((AS174+AT174),[1]Sheet1!$B$1:$B$13)),0)</f>
        <v>0</v>
      </c>
      <c r="BC174" s="1" t="str">
        <f t="shared" si="94"/>
        <v/>
      </c>
    </row>
    <row r="175" spans="1:55" ht="18" customHeight="1" x14ac:dyDescent="0.2">
      <c r="A175" s="4"/>
      <c r="B175" s="5"/>
      <c r="C175" s="6"/>
      <c r="D175" s="6"/>
      <c r="E175" s="6"/>
      <c r="F175" s="4"/>
      <c r="G175" s="6"/>
      <c r="H175" s="6">
        <f t="shared" si="74"/>
        <v>0</v>
      </c>
      <c r="I175" s="8"/>
      <c r="J175" s="8"/>
      <c r="K175" s="8">
        <f t="shared" si="75"/>
        <v>0</v>
      </c>
      <c r="L175" s="8">
        <f t="shared" si="36"/>
        <v>0</v>
      </c>
      <c r="M175" s="8">
        <f>IFERROR((I175+J175)*INDEX([1]Sheet1!$A$1:$A$13,MATCH((I175+J175),[1]Sheet1!$B$1:$B$13)),0)</f>
        <v>0</v>
      </c>
      <c r="N175" s="6">
        <f t="shared" si="76"/>
        <v>0</v>
      </c>
      <c r="O175" s="8"/>
      <c r="P175" s="8">
        <f t="shared" si="77"/>
        <v>0</v>
      </c>
      <c r="Q175" s="8">
        <f t="shared" si="78"/>
        <v>0</v>
      </c>
      <c r="R175" s="8">
        <f t="shared" si="16"/>
        <v>0</v>
      </c>
      <c r="S175" s="8">
        <f>IFERROR((O175+P175)*INDEX([1]Sheet1!$A$1:$A$13,MATCH((O175+P175),[1]Sheet1!$B$1:$B$13)),0)</f>
        <v>0</v>
      </c>
      <c r="T175" s="6">
        <f t="shared" si="79"/>
        <v>0</v>
      </c>
      <c r="U175" s="8"/>
      <c r="V175" s="8">
        <f t="shared" si="80"/>
        <v>0</v>
      </c>
      <c r="W175" s="8">
        <f t="shared" si="81"/>
        <v>0</v>
      </c>
      <c r="X175" s="8">
        <f t="shared" si="20"/>
        <v>0</v>
      </c>
      <c r="Y175" s="8">
        <f>IFERROR((U175+V175)*INDEX([1]Sheet1!$A$1:$A$13,MATCH((U175+V175),[1]Sheet1!$B$1:$B$13)),0)</f>
        <v>0</v>
      </c>
      <c r="Z175" s="6">
        <f t="shared" si="82"/>
        <v>0</v>
      </c>
      <c r="AA175" s="8"/>
      <c r="AB175" s="8">
        <f t="shared" si="83"/>
        <v>0</v>
      </c>
      <c r="AC175" s="8">
        <f t="shared" si="84"/>
        <v>0</v>
      </c>
      <c r="AD175" s="8">
        <f t="shared" si="24"/>
        <v>0</v>
      </c>
      <c r="AE175" s="8">
        <f>IFERROR((AA175+AB175)*INDEX([1]Sheet1!$A$1:$A$13,MATCH((AA175+AB175),[1]Sheet1!$B$1:$B$13)),0)</f>
        <v>0</v>
      </c>
      <c r="AF175" s="6">
        <f t="shared" si="85"/>
        <v>0</v>
      </c>
      <c r="AG175" s="8"/>
      <c r="AH175" s="8">
        <f t="shared" si="86"/>
        <v>0</v>
      </c>
      <c r="AI175" s="8">
        <f t="shared" si="87"/>
        <v>0</v>
      </c>
      <c r="AJ175" s="8">
        <f t="shared" si="28"/>
        <v>0</v>
      </c>
      <c r="AK175" s="8">
        <f>IFERROR((AG175+AH175)*INDEX([1]Sheet1!$A$1:$A$13,MATCH((AG175+AH175),[1]Sheet1!$B$1:$B$13)),0)</f>
        <v>0</v>
      </c>
      <c r="AL175" s="6">
        <f t="shared" si="88"/>
        <v>0</v>
      </c>
      <c r="AM175" s="8"/>
      <c r="AN175" s="8">
        <f t="shared" si="89"/>
        <v>0</v>
      </c>
      <c r="AO175" s="8">
        <f t="shared" si="90"/>
        <v>0</v>
      </c>
      <c r="AP175" s="8">
        <f t="shared" si="37"/>
        <v>0</v>
      </c>
      <c r="AQ175" s="8">
        <f>IFERROR((AM175+AN175)*INDEX([1]Sheet1!$A$1:$A$13,MATCH((AM175+AN175),[1]Sheet1!$B$1:$B$13)),0)</f>
        <v>0</v>
      </c>
      <c r="AR175" s="6">
        <f t="shared" si="91"/>
        <v>0</v>
      </c>
      <c r="AS175" s="8"/>
      <c r="AT175" s="8">
        <f t="shared" si="92"/>
        <v>0</v>
      </c>
      <c r="AU175" s="8">
        <f t="shared" si="93"/>
        <v>0</v>
      </c>
      <c r="AV175" s="8">
        <f t="shared" si="38"/>
        <v>0</v>
      </c>
      <c r="AW175" s="8">
        <f>IFERROR((AS175+AT175)*INDEX([1]Sheet1!$A$1:$A$13,MATCH((AS175+AT175),[1]Sheet1!$B$1:$B$13)),0)</f>
        <v>0</v>
      </c>
      <c r="BC175" s="1" t="str">
        <f t="shared" si="94"/>
        <v/>
      </c>
    </row>
    <row r="176" spans="1:55" ht="18" customHeight="1" x14ac:dyDescent="0.2">
      <c r="A176" s="4"/>
      <c r="B176" s="5"/>
      <c r="C176" s="6"/>
      <c r="D176" s="6"/>
      <c r="E176" s="6"/>
      <c r="F176" s="4"/>
      <c r="G176" s="6"/>
      <c r="H176" s="6">
        <f t="shared" si="74"/>
        <v>0</v>
      </c>
      <c r="I176" s="8"/>
      <c r="J176" s="8"/>
      <c r="K176" s="8">
        <f t="shared" si="75"/>
        <v>0</v>
      </c>
      <c r="L176" s="8">
        <f t="shared" si="36"/>
        <v>0</v>
      </c>
      <c r="M176" s="8">
        <f>IFERROR((I176+J176)*INDEX([1]Sheet1!$A$1:$A$13,MATCH((I176+J176),[1]Sheet1!$B$1:$B$13)),0)</f>
        <v>0</v>
      </c>
      <c r="N176" s="6">
        <f t="shared" si="76"/>
        <v>0</v>
      </c>
      <c r="O176" s="8"/>
      <c r="P176" s="8">
        <f t="shared" si="77"/>
        <v>0</v>
      </c>
      <c r="Q176" s="8">
        <f t="shared" si="78"/>
        <v>0</v>
      </c>
      <c r="R176" s="8">
        <f t="shared" si="16"/>
        <v>0</v>
      </c>
      <c r="S176" s="8">
        <f>IFERROR((O176+P176)*INDEX([1]Sheet1!$A$1:$A$13,MATCH((O176+P176),[1]Sheet1!$B$1:$B$13)),0)</f>
        <v>0</v>
      </c>
      <c r="T176" s="6">
        <f t="shared" si="79"/>
        <v>0</v>
      </c>
      <c r="U176" s="8"/>
      <c r="V176" s="8">
        <f t="shared" si="80"/>
        <v>0</v>
      </c>
      <c r="W176" s="8">
        <f t="shared" si="81"/>
        <v>0</v>
      </c>
      <c r="X176" s="8">
        <f t="shared" si="20"/>
        <v>0</v>
      </c>
      <c r="Y176" s="8">
        <f>IFERROR((U176+V176)*INDEX([1]Sheet1!$A$1:$A$13,MATCH((U176+V176),[1]Sheet1!$B$1:$B$13)),0)</f>
        <v>0</v>
      </c>
      <c r="Z176" s="6">
        <f t="shared" si="82"/>
        <v>0</v>
      </c>
      <c r="AA176" s="8"/>
      <c r="AB176" s="8">
        <f t="shared" si="83"/>
        <v>0</v>
      </c>
      <c r="AC176" s="8">
        <f t="shared" si="84"/>
        <v>0</v>
      </c>
      <c r="AD176" s="8">
        <f t="shared" si="24"/>
        <v>0</v>
      </c>
      <c r="AE176" s="8">
        <f>IFERROR((AA176+AB176)*INDEX([1]Sheet1!$A$1:$A$13,MATCH((AA176+AB176),[1]Sheet1!$B$1:$B$13)),0)</f>
        <v>0</v>
      </c>
      <c r="AF176" s="6">
        <f t="shared" si="85"/>
        <v>0</v>
      </c>
      <c r="AG176" s="8"/>
      <c r="AH176" s="8">
        <f t="shared" si="86"/>
        <v>0</v>
      </c>
      <c r="AI176" s="8">
        <f t="shared" si="87"/>
        <v>0</v>
      </c>
      <c r="AJ176" s="8">
        <f t="shared" si="28"/>
        <v>0</v>
      </c>
      <c r="AK176" s="8">
        <f>IFERROR((AG176+AH176)*INDEX([1]Sheet1!$A$1:$A$13,MATCH((AG176+AH176),[1]Sheet1!$B$1:$B$13)),0)</f>
        <v>0</v>
      </c>
      <c r="AL176" s="6">
        <f t="shared" si="88"/>
        <v>0</v>
      </c>
      <c r="AM176" s="8"/>
      <c r="AN176" s="8">
        <f t="shared" si="89"/>
        <v>0</v>
      </c>
      <c r="AO176" s="8">
        <f t="shared" si="90"/>
        <v>0</v>
      </c>
      <c r="AP176" s="8">
        <f t="shared" si="37"/>
        <v>0</v>
      </c>
      <c r="AQ176" s="8">
        <f>IFERROR((AM176+AN176)*INDEX([1]Sheet1!$A$1:$A$13,MATCH((AM176+AN176),[1]Sheet1!$B$1:$B$13)),0)</f>
        <v>0</v>
      </c>
      <c r="AR176" s="6">
        <f t="shared" si="91"/>
        <v>0</v>
      </c>
      <c r="AS176" s="8"/>
      <c r="AT176" s="8">
        <f t="shared" si="92"/>
        <v>0</v>
      </c>
      <c r="AU176" s="8">
        <f t="shared" si="93"/>
        <v>0</v>
      </c>
      <c r="AV176" s="8">
        <f t="shared" si="38"/>
        <v>0</v>
      </c>
      <c r="AW176" s="8">
        <f>IFERROR((AS176+AT176)*INDEX([1]Sheet1!$A$1:$A$13,MATCH((AS176+AT176),[1]Sheet1!$B$1:$B$13)),0)</f>
        <v>0</v>
      </c>
      <c r="BC176" s="1" t="str">
        <f t="shared" si="94"/>
        <v/>
      </c>
    </row>
    <row r="177" spans="1:55" ht="18" customHeight="1" x14ac:dyDescent="0.2">
      <c r="A177" s="4"/>
      <c r="B177" s="5"/>
      <c r="C177" s="6"/>
      <c r="D177" s="6"/>
      <c r="E177" s="6"/>
      <c r="F177" s="4"/>
      <c r="G177" s="6"/>
      <c r="H177" s="6">
        <f t="shared" si="74"/>
        <v>0</v>
      </c>
      <c r="I177" s="8"/>
      <c r="J177" s="8"/>
      <c r="K177" s="8">
        <f t="shared" si="75"/>
        <v>0</v>
      </c>
      <c r="L177" s="8">
        <f t="shared" si="36"/>
        <v>0</v>
      </c>
      <c r="M177" s="8">
        <f>IFERROR((I177+J177)*INDEX([1]Sheet1!$A$1:$A$13,MATCH((I177+J177),[1]Sheet1!$B$1:$B$13)),0)</f>
        <v>0</v>
      </c>
      <c r="N177" s="6">
        <f t="shared" si="76"/>
        <v>0</v>
      </c>
      <c r="O177" s="8"/>
      <c r="P177" s="8">
        <f t="shared" si="77"/>
        <v>0</v>
      </c>
      <c r="Q177" s="8">
        <f t="shared" si="78"/>
        <v>0</v>
      </c>
      <c r="R177" s="8">
        <f t="shared" si="16"/>
        <v>0</v>
      </c>
      <c r="S177" s="8">
        <f>IFERROR((O177+P177)*INDEX([1]Sheet1!$A$1:$A$13,MATCH((O177+P177),[1]Sheet1!$B$1:$B$13)),0)</f>
        <v>0</v>
      </c>
      <c r="T177" s="6">
        <f t="shared" si="79"/>
        <v>0</v>
      </c>
      <c r="U177" s="8"/>
      <c r="V177" s="8">
        <f t="shared" si="80"/>
        <v>0</v>
      </c>
      <c r="W177" s="8">
        <f t="shared" si="81"/>
        <v>0</v>
      </c>
      <c r="X177" s="8">
        <f t="shared" si="20"/>
        <v>0</v>
      </c>
      <c r="Y177" s="8">
        <f>IFERROR((U177+V177)*INDEX([1]Sheet1!$A$1:$A$13,MATCH((U177+V177),[1]Sheet1!$B$1:$B$13)),0)</f>
        <v>0</v>
      </c>
      <c r="Z177" s="6">
        <f t="shared" si="82"/>
        <v>0</v>
      </c>
      <c r="AA177" s="8"/>
      <c r="AB177" s="8">
        <f t="shared" si="83"/>
        <v>0</v>
      </c>
      <c r="AC177" s="8">
        <f t="shared" si="84"/>
        <v>0</v>
      </c>
      <c r="AD177" s="8">
        <f t="shared" si="24"/>
        <v>0</v>
      </c>
      <c r="AE177" s="8">
        <f>IFERROR((AA177+AB177)*INDEX([1]Sheet1!$A$1:$A$13,MATCH((AA177+AB177),[1]Sheet1!$B$1:$B$13)),0)</f>
        <v>0</v>
      </c>
      <c r="AF177" s="6">
        <f t="shared" si="85"/>
        <v>0</v>
      </c>
      <c r="AG177" s="8"/>
      <c r="AH177" s="8">
        <f t="shared" si="86"/>
        <v>0</v>
      </c>
      <c r="AI177" s="8">
        <f t="shared" si="87"/>
        <v>0</v>
      </c>
      <c r="AJ177" s="8">
        <f t="shared" si="28"/>
        <v>0</v>
      </c>
      <c r="AK177" s="8">
        <f>IFERROR((AG177+AH177)*INDEX([1]Sheet1!$A$1:$A$13,MATCH((AG177+AH177),[1]Sheet1!$B$1:$B$13)),0)</f>
        <v>0</v>
      </c>
      <c r="AL177" s="6">
        <f t="shared" si="88"/>
        <v>0</v>
      </c>
      <c r="AM177" s="8"/>
      <c r="AN177" s="8">
        <f t="shared" si="89"/>
        <v>0</v>
      </c>
      <c r="AO177" s="8">
        <f t="shared" si="90"/>
        <v>0</v>
      </c>
      <c r="AP177" s="8">
        <f t="shared" si="37"/>
        <v>0</v>
      </c>
      <c r="AQ177" s="8">
        <f>IFERROR((AM177+AN177)*INDEX([1]Sheet1!$A$1:$A$13,MATCH((AM177+AN177),[1]Sheet1!$B$1:$B$13)),0)</f>
        <v>0</v>
      </c>
      <c r="AR177" s="6">
        <f t="shared" si="91"/>
        <v>0</v>
      </c>
      <c r="AS177" s="8"/>
      <c r="AT177" s="8">
        <f t="shared" si="92"/>
        <v>0</v>
      </c>
      <c r="AU177" s="8">
        <f t="shared" si="93"/>
        <v>0</v>
      </c>
      <c r="AV177" s="8">
        <f t="shared" si="38"/>
        <v>0</v>
      </c>
      <c r="AW177" s="8">
        <f>IFERROR((AS177+AT177)*INDEX([1]Sheet1!$A$1:$A$13,MATCH((AS177+AT177),[1]Sheet1!$B$1:$B$13)),0)</f>
        <v>0</v>
      </c>
      <c r="BC177" s="1" t="str">
        <f t="shared" si="94"/>
        <v/>
      </c>
    </row>
    <row r="178" spans="1:55" ht="18" customHeight="1" x14ac:dyDescent="0.2">
      <c r="A178" s="4"/>
      <c r="B178" s="5"/>
      <c r="C178" s="6"/>
      <c r="D178" s="6"/>
      <c r="E178" s="6"/>
      <c r="F178" s="4"/>
      <c r="G178" s="6"/>
      <c r="H178" s="6">
        <f t="shared" si="74"/>
        <v>0</v>
      </c>
      <c r="I178" s="8"/>
      <c r="J178" s="8"/>
      <c r="K178" s="8">
        <f t="shared" si="75"/>
        <v>0</v>
      </c>
      <c r="L178" s="8">
        <f t="shared" si="36"/>
        <v>0</v>
      </c>
      <c r="M178" s="8">
        <f>IFERROR((I178+J178)*INDEX([1]Sheet1!$A$1:$A$13,MATCH((I178+J178),[1]Sheet1!$B$1:$B$13)),0)</f>
        <v>0</v>
      </c>
      <c r="N178" s="6">
        <f t="shared" si="76"/>
        <v>0</v>
      </c>
      <c r="O178" s="8"/>
      <c r="P178" s="8">
        <f t="shared" si="77"/>
        <v>0</v>
      </c>
      <c r="Q178" s="8">
        <f t="shared" si="78"/>
        <v>0</v>
      </c>
      <c r="R178" s="8">
        <f t="shared" si="16"/>
        <v>0</v>
      </c>
      <c r="S178" s="8">
        <f>IFERROR((O178+P178)*INDEX([1]Sheet1!$A$1:$A$13,MATCH((O178+P178),[1]Sheet1!$B$1:$B$13)),0)</f>
        <v>0</v>
      </c>
      <c r="T178" s="6">
        <f t="shared" si="79"/>
        <v>0</v>
      </c>
      <c r="U178" s="8"/>
      <c r="V178" s="8">
        <f t="shared" si="80"/>
        <v>0</v>
      </c>
      <c r="W178" s="8">
        <f t="shared" si="81"/>
        <v>0</v>
      </c>
      <c r="X178" s="8">
        <f t="shared" si="20"/>
        <v>0</v>
      </c>
      <c r="Y178" s="8">
        <f>IFERROR((U178+V178)*INDEX([1]Sheet1!$A$1:$A$13,MATCH((U178+V178),[1]Sheet1!$B$1:$B$13)),0)</f>
        <v>0</v>
      </c>
      <c r="Z178" s="6">
        <f t="shared" si="82"/>
        <v>0</v>
      </c>
      <c r="AA178" s="8"/>
      <c r="AB178" s="8">
        <f t="shared" si="83"/>
        <v>0</v>
      </c>
      <c r="AC178" s="8">
        <f t="shared" si="84"/>
        <v>0</v>
      </c>
      <c r="AD178" s="8">
        <f t="shared" si="24"/>
        <v>0</v>
      </c>
      <c r="AE178" s="8">
        <f>IFERROR((AA178+AB178)*INDEX([1]Sheet1!$A$1:$A$13,MATCH((AA178+AB178),[1]Sheet1!$B$1:$B$13)),0)</f>
        <v>0</v>
      </c>
      <c r="AF178" s="6">
        <f t="shared" si="85"/>
        <v>0</v>
      </c>
      <c r="AG178" s="8"/>
      <c r="AH178" s="8">
        <f t="shared" si="86"/>
        <v>0</v>
      </c>
      <c r="AI178" s="8">
        <f t="shared" si="87"/>
        <v>0</v>
      </c>
      <c r="AJ178" s="8">
        <f t="shared" si="28"/>
        <v>0</v>
      </c>
      <c r="AK178" s="8">
        <f>IFERROR((AG178+AH178)*INDEX([1]Sheet1!$A$1:$A$13,MATCH((AG178+AH178),[1]Sheet1!$B$1:$B$13)),0)</f>
        <v>0</v>
      </c>
      <c r="AL178" s="6">
        <f t="shared" si="88"/>
        <v>0</v>
      </c>
      <c r="AM178" s="8"/>
      <c r="AN178" s="8">
        <f t="shared" si="89"/>
        <v>0</v>
      </c>
      <c r="AO178" s="8">
        <f t="shared" si="90"/>
        <v>0</v>
      </c>
      <c r="AP178" s="8">
        <f t="shared" si="37"/>
        <v>0</v>
      </c>
      <c r="AQ178" s="8">
        <f>IFERROR((AM178+AN178)*INDEX([1]Sheet1!$A$1:$A$13,MATCH((AM178+AN178),[1]Sheet1!$B$1:$B$13)),0)</f>
        <v>0</v>
      </c>
      <c r="AR178" s="6">
        <f t="shared" si="91"/>
        <v>0</v>
      </c>
      <c r="AS178" s="8"/>
      <c r="AT178" s="8">
        <f t="shared" si="92"/>
        <v>0</v>
      </c>
      <c r="AU178" s="8">
        <f t="shared" si="93"/>
        <v>0</v>
      </c>
      <c r="AV178" s="8">
        <f t="shared" si="38"/>
        <v>0</v>
      </c>
      <c r="AW178" s="8">
        <f>IFERROR((AS178+AT178)*INDEX([1]Sheet1!$A$1:$A$13,MATCH((AS178+AT178),[1]Sheet1!$B$1:$B$13)),0)</f>
        <v>0</v>
      </c>
      <c r="BC178" s="1" t="str">
        <f t="shared" si="94"/>
        <v/>
      </c>
    </row>
    <row r="179" spans="1:55" ht="18" customHeight="1" x14ac:dyDescent="0.2">
      <c r="A179" s="4"/>
      <c r="B179" s="5"/>
      <c r="C179" s="6"/>
      <c r="D179" s="6"/>
      <c r="E179" s="6"/>
      <c r="F179" s="4"/>
      <c r="G179" s="6"/>
      <c r="H179" s="6">
        <f t="shared" si="74"/>
        <v>0</v>
      </c>
      <c r="I179" s="8"/>
      <c r="J179" s="8"/>
      <c r="K179" s="8">
        <f t="shared" si="75"/>
        <v>0</v>
      </c>
      <c r="L179" s="8">
        <f t="shared" ref="L179:L199" si="95">IF(K179&gt;0,IF(K179*$H$23&lt;2.5,2.5/$H$23,K179),0)</f>
        <v>0</v>
      </c>
      <c r="M179" s="8">
        <f>IFERROR((I179+J179)*INDEX([1]Sheet1!$A$1:$A$13,MATCH((I179+J179),[1]Sheet1!$B$1:$B$13)),0)</f>
        <v>0</v>
      </c>
      <c r="N179" s="6">
        <f t="shared" si="76"/>
        <v>0</v>
      </c>
      <c r="O179" s="8"/>
      <c r="P179" s="8">
        <f t="shared" si="77"/>
        <v>0</v>
      </c>
      <c r="Q179" s="8">
        <f t="shared" si="78"/>
        <v>0</v>
      </c>
      <c r="R179" s="8">
        <f t="shared" ref="R179:R199" si="96">IF(Q179&gt;0,IF(Q179*$N$23&lt;2.5,2.5/$N$23,Q179),0)</f>
        <v>0</v>
      </c>
      <c r="S179" s="8">
        <f>IFERROR((O179+P179)*INDEX([1]Sheet1!$A$1:$A$13,MATCH((O179+P179),[1]Sheet1!$B$1:$B$13)),0)</f>
        <v>0</v>
      </c>
      <c r="T179" s="6">
        <f t="shared" si="79"/>
        <v>0</v>
      </c>
      <c r="U179" s="8"/>
      <c r="V179" s="8">
        <f t="shared" si="80"/>
        <v>0</v>
      </c>
      <c r="W179" s="8">
        <f t="shared" si="81"/>
        <v>0</v>
      </c>
      <c r="X179" s="8">
        <f t="shared" ref="X179:X199" si="97">IF(W179&gt;0,IF(W179*$T$23&lt;2.5,2.5/$T$23,W179),0)</f>
        <v>0</v>
      </c>
      <c r="Y179" s="8">
        <f>IFERROR((U179+V179)*INDEX([1]Sheet1!$A$1:$A$13,MATCH((U179+V179),[1]Sheet1!$B$1:$B$13)),0)</f>
        <v>0</v>
      </c>
      <c r="Z179" s="6">
        <f t="shared" si="82"/>
        <v>0</v>
      </c>
      <c r="AA179" s="8"/>
      <c r="AB179" s="8">
        <f t="shared" si="83"/>
        <v>0</v>
      </c>
      <c r="AC179" s="8">
        <f t="shared" si="84"/>
        <v>0</v>
      </c>
      <c r="AD179" s="8">
        <f t="shared" ref="AD179:AD199" si="98">IF(AC179&gt;0,IF(AC179*$Z$23&lt;2.5,2.5/$Z$23,AC179),0)</f>
        <v>0</v>
      </c>
      <c r="AE179" s="8">
        <f>IFERROR((AA179+AB179)*INDEX([1]Sheet1!$A$1:$A$13,MATCH((AA179+AB179),[1]Sheet1!$B$1:$B$13)),0)</f>
        <v>0</v>
      </c>
      <c r="AF179" s="6">
        <f t="shared" si="85"/>
        <v>0</v>
      </c>
      <c r="AG179" s="8"/>
      <c r="AH179" s="8">
        <f t="shared" si="86"/>
        <v>0</v>
      </c>
      <c r="AI179" s="8">
        <f t="shared" si="87"/>
        <v>0</v>
      </c>
      <c r="AJ179" s="8">
        <f t="shared" ref="AJ179:AJ199" si="99">IF(AI179&gt;0,IF(AI179*$AF$23&lt;2.5,2.5/$AF$23,AI179),0)</f>
        <v>0</v>
      </c>
      <c r="AK179" s="8">
        <f>IFERROR((AG179+AH179)*INDEX([1]Sheet1!$A$1:$A$13,MATCH((AG179+AH179),[1]Sheet1!$B$1:$B$13)),0)</f>
        <v>0</v>
      </c>
      <c r="AL179" s="6">
        <f t="shared" si="88"/>
        <v>0</v>
      </c>
      <c r="AM179" s="8"/>
      <c r="AN179" s="8">
        <f t="shared" si="89"/>
        <v>0</v>
      </c>
      <c r="AO179" s="8">
        <f t="shared" si="90"/>
        <v>0</v>
      </c>
      <c r="AP179" s="8">
        <f t="shared" si="37"/>
        <v>0</v>
      </c>
      <c r="AQ179" s="8">
        <f>IFERROR((AM179+AN179)*INDEX([1]Sheet1!$A$1:$A$13,MATCH((AM179+AN179),[1]Sheet1!$B$1:$B$13)),0)</f>
        <v>0</v>
      </c>
      <c r="AR179" s="6">
        <f t="shared" si="91"/>
        <v>0</v>
      </c>
      <c r="AS179" s="8"/>
      <c r="AT179" s="8">
        <f t="shared" si="92"/>
        <v>0</v>
      </c>
      <c r="AU179" s="8">
        <f t="shared" si="93"/>
        <v>0</v>
      </c>
      <c r="AV179" s="8">
        <f t="shared" si="38"/>
        <v>0</v>
      </c>
      <c r="AW179" s="8">
        <f>IFERROR((AS179+AT179)*INDEX([1]Sheet1!$A$1:$A$13,MATCH((AS179+AT179),[1]Sheet1!$B$1:$B$13)),0)</f>
        <v>0</v>
      </c>
      <c r="BC179" s="1" t="str">
        <f t="shared" si="94"/>
        <v/>
      </c>
    </row>
    <row r="180" spans="1:55" ht="18" customHeight="1" x14ac:dyDescent="0.2">
      <c r="A180" s="4"/>
      <c r="B180" s="5"/>
      <c r="C180" s="6"/>
      <c r="D180" s="6"/>
      <c r="E180" s="6"/>
      <c r="F180" s="4"/>
      <c r="G180" s="6"/>
      <c r="H180" s="6">
        <f t="shared" si="74"/>
        <v>0</v>
      </c>
      <c r="I180" s="8"/>
      <c r="J180" s="8"/>
      <c r="K180" s="8">
        <f t="shared" si="75"/>
        <v>0</v>
      </c>
      <c r="L180" s="8">
        <f t="shared" si="95"/>
        <v>0</v>
      </c>
      <c r="M180" s="8">
        <f>IFERROR((I180+J180)*INDEX([1]Sheet1!$A$1:$A$13,MATCH((I180+J180),[1]Sheet1!$B$1:$B$13)),0)</f>
        <v>0</v>
      </c>
      <c r="N180" s="6">
        <f t="shared" si="76"/>
        <v>0</v>
      </c>
      <c r="O180" s="8"/>
      <c r="P180" s="8">
        <f t="shared" si="77"/>
        <v>0</v>
      </c>
      <c r="Q180" s="8">
        <f t="shared" si="78"/>
        <v>0</v>
      </c>
      <c r="R180" s="8">
        <f t="shared" si="96"/>
        <v>0</v>
      </c>
      <c r="S180" s="8">
        <f>IFERROR((O180+P180)*INDEX([1]Sheet1!$A$1:$A$13,MATCH((O180+P180),[1]Sheet1!$B$1:$B$13)),0)</f>
        <v>0</v>
      </c>
      <c r="T180" s="6">
        <f t="shared" si="79"/>
        <v>0</v>
      </c>
      <c r="U180" s="8"/>
      <c r="V180" s="8">
        <f t="shared" si="80"/>
        <v>0</v>
      </c>
      <c r="W180" s="8">
        <f t="shared" si="81"/>
        <v>0</v>
      </c>
      <c r="X180" s="8">
        <f t="shared" si="97"/>
        <v>0</v>
      </c>
      <c r="Y180" s="8">
        <f>IFERROR((U180+V180)*INDEX([1]Sheet1!$A$1:$A$13,MATCH((U180+V180),[1]Sheet1!$B$1:$B$13)),0)</f>
        <v>0</v>
      </c>
      <c r="Z180" s="6">
        <f t="shared" si="82"/>
        <v>0</v>
      </c>
      <c r="AA180" s="8"/>
      <c r="AB180" s="8">
        <f t="shared" si="83"/>
        <v>0</v>
      </c>
      <c r="AC180" s="8">
        <f t="shared" si="84"/>
        <v>0</v>
      </c>
      <c r="AD180" s="8">
        <f t="shared" si="98"/>
        <v>0</v>
      </c>
      <c r="AE180" s="8">
        <f>IFERROR((AA180+AB180)*INDEX([1]Sheet1!$A$1:$A$13,MATCH((AA180+AB180),[1]Sheet1!$B$1:$B$13)),0)</f>
        <v>0</v>
      </c>
      <c r="AF180" s="6">
        <f t="shared" si="85"/>
        <v>0</v>
      </c>
      <c r="AG180" s="8"/>
      <c r="AH180" s="8">
        <f t="shared" si="86"/>
        <v>0</v>
      </c>
      <c r="AI180" s="8">
        <f t="shared" si="87"/>
        <v>0</v>
      </c>
      <c r="AJ180" s="8">
        <f t="shared" si="99"/>
        <v>0</v>
      </c>
      <c r="AK180" s="8">
        <f>IFERROR((AG180+AH180)*INDEX([1]Sheet1!$A$1:$A$13,MATCH((AG180+AH180),[1]Sheet1!$B$1:$B$13)),0)</f>
        <v>0</v>
      </c>
      <c r="AL180" s="6">
        <f t="shared" si="88"/>
        <v>0</v>
      </c>
      <c r="AM180" s="8"/>
      <c r="AN180" s="8">
        <f t="shared" si="89"/>
        <v>0</v>
      </c>
      <c r="AO180" s="8">
        <f t="shared" si="90"/>
        <v>0</v>
      </c>
      <c r="AP180" s="8">
        <f t="shared" si="37"/>
        <v>0</v>
      </c>
      <c r="AQ180" s="8">
        <f>IFERROR((AM180+AN180)*INDEX([1]Sheet1!$A$1:$A$13,MATCH((AM180+AN180),[1]Sheet1!$B$1:$B$13)),0)</f>
        <v>0</v>
      </c>
      <c r="AR180" s="6">
        <f t="shared" si="91"/>
        <v>0</v>
      </c>
      <c r="AS180" s="8"/>
      <c r="AT180" s="8">
        <f t="shared" si="92"/>
        <v>0</v>
      </c>
      <c r="AU180" s="8">
        <f t="shared" si="93"/>
        <v>0</v>
      </c>
      <c r="AV180" s="8">
        <f t="shared" si="38"/>
        <v>0</v>
      </c>
      <c r="AW180" s="8">
        <f>IFERROR((AS180+AT180)*INDEX([1]Sheet1!$A$1:$A$13,MATCH((AS180+AT180),[1]Sheet1!$B$1:$B$13)),0)</f>
        <v>0</v>
      </c>
      <c r="BC180" s="1" t="str">
        <f t="shared" si="94"/>
        <v/>
      </c>
    </row>
    <row r="181" spans="1:55" ht="18" customHeight="1" x14ac:dyDescent="0.2">
      <c r="A181" s="4"/>
      <c r="B181" s="5"/>
      <c r="C181" s="6"/>
      <c r="D181" s="6"/>
      <c r="E181" s="6"/>
      <c r="F181" s="4"/>
      <c r="G181" s="6"/>
      <c r="H181" s="6">
        <f t="shared" si="74"/>
        <v>0</v>
      </c>
      <c r="I181" s="8"/>
      <c r="J181" s="8"/>
      <c r="K181" s="8">
        <f t="shared" si="75"/>
        <v>0</v>
      </c>
      <c r="L181" s="8">
        <f t="shared" si="95"/>
        <v>0</v>
      </c>
      <c r="M181" s="8">
        <f>IFERROR((I181+J181)*INDEX([1]Sheet1!$A$1:$A$13,MATCH((I181+J181),[1]Sheet1!$B$1:$B$13)),0)</f>
        <v>0</v>
      </c>
      <c r="N181" s="6">
        <f t="shared" si="76"/>
        <v>0</v>
      </c>
      <c r="O181" s="8"/>
      <c r="P181" s="8">
        <f t="shared" si="77"/>
        <v>0</v>
      </c>
      <c r="Q181" s="8">
        <f t="shared" si="78"/>
        <v>0</v>
      </c>
      <c r="R181" s="8">
        <f t="shared" si="96"/>
        <v>0</v>
      </c>
      <c r="S181" s="8">
        <f>IFERROR((O181+P181)*INDEX([1]Sheet1!$A$1:$A$13,MATCH((O181+P181),[1]Sheet1!$B$1:$B$13)),0)</f>
        <v>0</v>
      </c>
      <c r="T181" s="6">
        <f t="shared" si="79"/>
        <v>0</v>
      </c>
      <c r="U181" s="8"/>
      <c r="V181" s="8">
        <f t="shared" si="80"/>
        <v>0</v>
      </c>
      <c r="W181" s="8">
        <f t="shared" si="81"/>
        <v>0</v>
      </c>
      <c r="X181" s="8">
        <f t="shared" si="97"/>
        <v>0</v>
      </c>
      <c r="Y181" s="8">
        <f>IFERROR((U181+V181)*INDEX([1]Sheet1!$A$1:$A$13,MATCH((U181+V181),[1]Sheet1!$B$1:$B$13)),0)</f>
        <v>0</v>
      </c>
      <c r="Z181" s="6">
        <f t="shared" si="82"/>
        <v>0</v>
      </c>
      <c r="AA181" s="8"/>
      <c r="AB181" s="8">
        <f t="shared" si="83"/>
        <v>0</v>
      </c>
      <c r="AC181" s="8">
        <f t="shared" si="84"/>
        <v>0</v>
      </c>
      <c r="AD181" s="8">
        <f t="shared" si="98"/>
        <v>0</v>
      </c>
      <c r="AE181" s="8">
        <f>IFERROR((AA181+AB181)*INDEX([1]Sheet1!$A$1:$A$13,MATCH((AA181+AB181),[1]Sheet1!$B$1:$B$13)),0)</f>
        <v>0</v>
      </c>
      <c r="AF181" s="6">
        <f t="shared" si="85"/>
        <v>0</v>
      </c>
      <c r="AG181" s="8"/>
      <c r="AH181" s="8">
        <f t="shared" si="86"/>
        <v>0</v>
      </c>
      <c r="AI181" s="8">
        <f t="shared" si="87"/>
        <v>0</v>
      </c>
      <c r="AJ181" s="8">
        <f t="shared" si="99"/>
        <v>0</v>
      </c>
      <c r="AK181" s="8">
        <f>IFERROR((AG181+AH181)*INDEX([1]Sheet1!$A$1:$A$13,MATCH((AG181+AH181),[1]Sheet1!$B$1:$B$13)),0)</f>
        <v>0</v>
      </c>
      <c r="AL181" s="6">
        <f t="shared" si="88"/>
        <v>0</v>
      </c>
      <c r="AM181" s="8"/>
      <c r="AN181" s="8">
        <f t="shared" si="89"/>
        <v>0</v>
      </c>
      <c r="AO181" s="8">
        <f t="shared" si="90"/>
        <v>0</v>
      </c>
      <c r="AP181" s="8">
        <f t="shared" si="37"/>
        <v>0</v>
      </c>
      <c r="AQ181" s="8">
        <f>IFERROR((AM181+AN181)*INDEX([1]Sheet1!$A$1:$A$13,MATCH((AM181+AN181),[1]Sheet1!$B$1:$B$13)),0)</f>
        <v>0</v>
      </c>
      <c r="AR181" s="6">
        <f t="shared" si="91"/>
        <v>0</v>
      </c>
      <c r="AS181" s="8"/>
      <c r="AT181" s="8">
        <f t="shared" si="92"/>
        <v>0</v>
      </c>
      <c r="AU181" s="8">
        <f t="shared" si="93"/>
        <v>0</v>
      </c>
      <c r="AV181" s="8">
        <f t="shared" si="38"/>
        <v>0</v>
      </c>
      <c r="AW181" s="8">
        <f>IFERROR((AS181+AT181)*INDEX([1]Sheet1!$A$1:$A$13,MATCH((AS181+AT181),[1]Sheet1!$B$1:$B$13)),0)</f>
        <v>0</v>
      </c>
      <c r="BC181" s="1" t="str">
        <f t="shared" si="94"/>
        <v/>
      </c>
    </row>
    <row r="182" spans="1:55" ht="18" customHeight="1" x14ac:dyDescent="0.2">
      <c r="A182" s="4"/>
      <c r="B182" s="6"/>
      <c r="C182" s="6"/>
      <c r="D182" s="6"/>
      <c r="E182" s="6"/>
      <c r="F182" s="4"/>
      <c r="G182" s="6"/>
      <c r="H182" s="6">
        <f t="shared" si="74"/>
        <v>0</v>
      </c>
      <c r="I182" s="8"/>
      <c r="J182" s="8"/>
      <c r="K182" s="8">
        <f t="shared" si="75"/>
        <v>0</v>
      </c>
      <c r="L182" s="8">
        <f t="shared" si="95"/>
        <v>0</v>
      </c>
      <c r="M182" s="8">
        <f>IFERROR((I182+J182)*INDEX([1]Sheet1!$A$1:$A$13,MATCH((I182+J182),[1]Sheet1!$B$1:$B$13)),0)</f>
        <v>0</v>
      </c>
      <c r="N182" s="6">
        <f t="shared" si="76"/>
        <v>0</v>
      </c>
      <c r="O182" s="8"/>
      <c r="P182" s="8">
        <f t="shared" si="77"/>
        <v>0</v>
      </c>
      <c r="Q182" s="8">
        <f t="shared" si="78"/>
        <v>0</v>
      </c>
      <c r="R182" s="8">
        <f t="shared" si="96"/>
        <v>0</v>
      </c>
      <c r="S182" s="8">
        <f>IFERROR((O182+P182)*INDEX([1]Sheet1!$A$1:$A$13,MATCH((O182+P182),[1]Sheet1!$B$1:$B$13)),0)</f>
        <v>0</v>
      </c>
      <c r="T182" s="6">
        <f t="shared" si="79"/>
        <v>0</v>
      </c>
      <c r="U182" s="8"/>
      <c r="V182" s="8">
        <f t="shared" si="80"/>
        <v>0</v>
      </c>
      <c r="W182" s="8">
        <f t="shared" si="81"/>
        <v>0</v>
      </c>
      <c r="X182" s="8">
        <f t="shared" si="97"/>
        <v>0</v>
      </c>
      <c r="Y182" s="8">
        <f>IFERROR((U182+V182)*INDEX([1]Sheet1!$A$1:$A$13,MATCH((U182+V182),[1]Sheet1!$B$1:$B$13)),0)</f>
        <v>0</v>
      </c>
      <c r="Z182" s="6">
        <f t="shared" si="82"/>
        <v>0</v>
      </c>
      <c r="AA182" s="8"/>
      <c r="AB182" s="8">
        <f t="shared" si="83"/>
        <v>0</v>
      </c>
      <c r="AC182" s="8">
        <f t="shared" si="84"/>
        <v>0</v>
      </c>
      <c r="AD182" s="8">
        <f t="shared" si="98"/>
        <v>0</v>
      </c>
      <c r="AE182" s="8">
        <f>IFERROR((AA182+AB182)*INDEX([1]Sheet1!$A$1:$A$13,MATCH((AA182+AB182),[1]Sheet1!$B$1:$B$13)),0)</f>
        <v>0</v>
      </c>
      <c r="AF182" s="6">
        <f t="shared" si="85"/>
        <v>0</v>
      </c>
      <c r="AG182" s="8"/>
      <c r="AH182" s="8">
        <f t="shared" si="86"/>
        <v>0</v>
      </c>
      <c r="AI182" s="8">
        <f t="shared" si="87"/>
        <v>0</v>
      </c>
      <c r="AJ182" s="8">
        <f t="shared" si="99"/>
        <v>0</v>
      </c>
      <c r="AK182" s="8">
        <f>IFERROR((AG182+AH182)*INDEX([1]Sheet1!$A$1:$A$13,MATCH((AG182+AH182),[1]Sheet1!$B$1:$B$13)),0)</f>
        <v>0</v>
      </c>
      <c r="AL182" s="6">
        <f t="shared" si="88"/>
        <v>0</v>
      </c>
      <c r="AM182" s="8"/>
      <c r="AN182" s="8">
        <f t="shared" si="89"/>
        <v>0</v>
      </c>
      <c r="AO182" s="8">
        <f t="shared" si="90"/>
        <v>0</v>
      </c>
      <c r="AP182" s="8">
        <f t="shared" si="37"/>
        <v>0</v>
      </c>
      <c r="AQ182" s="8">
        <f>IFERROR((AM182+AN182)*INDEX([1]Sheet1!$A$1:$A$13,MATCH((AM182+AN182),[1]Sheet1!$B$1:$B$13)),0)</f>
        <v>0</v>
      </c>
      <c r="AR182" s="6">
        <f t="shared" si="91"/>
        <v>0</v>
      </c>
      <c r="AS182" s="8"/>
      <c r="AT182" s="8">
        <f t="shared" si="92"/>
        <v>0</v>
      </c>
      <c r="AU182" s="8">
        <f t="shared" si="93"/>
        <v>0</v>
      </c>
      <c r="AV182" s="8">
        <f t="shared" si="38"/>
        <v>0</v>
      </c>
      <c r="AW182" s="8">
        <f>IFERROR((AS182+AT182)*INDEX([1]Sheet1!$A$1:$A$13,MATCH((AS182+AT182),[1]Sheet1!$B$1:$B$13)),0)</f>
        <v>0</v>
      </c>
      <c r="BC182" s="1" t="str">
        <f t="shared" si="94"/>
        <v/>
      </c>
    </row>
    <row r="183" spans="1:55" ht="18" customHeight="1" x14ac:dyDescent="0.2">
      <c r="A183" s="4"/>
      <c r="B183" s="5"/>
      <c r="C183" s="6"/>
      <c r="D183" s="6"/>
      <c r="E183" s="6"/>
      <c r="F183" s="4"/>
      <c r="G183" s="6"/>
      <c r="H183" s="6">
        <f t="shared" si="74"/>
        <v>0</v>
      </c>
      <c r="I183" s="8"/>
      <c r="J183" s="8"/>
      <c r="K183" s="8">
        <f t="shared" si="75"/>
        <v>0</v>
      </c>
      <c r="L183" s="8">
        <f t="shared" si="95"/>
        <v>0</v>
      </c>
      <c r="M183" s="8">
        <f>IFERROR((I183+J183)*INDEX([1]Sheet1!$A$1:$A$13,MATCH((I183+J183),[1]Sheet1!$B$1:$B$13)),0)</f>
        <v>0</v>
      </c>
      <c r="N183" s="6">
        <f t="shared" si="76"/>
        <v>0</v>
      </c>
      <c r="O183" s="8"/>
      <c r="P183" s="8">
        <f t="shared" si="77"/>
        <v>0</v>
      </c>
      <c r="Q183" s="8">
        <f t="shared" si="78"/>
        <v>0</v>
      </c>
      <c r="R183" s="8">
        <f t="shared" si="96"/>
        <v>0</v>
      </c>
      <c r="S183" s="8">
        <f>IFERROR((O183+P183)*INDEX([1]Sheet1!$A$1:$A$13,MATCH((O183+P183),[1]Sheet1!$B$1:$B$13)),0)</f>
        <v>0</v>
      </c>
      <c r="T183" s="6">
        <f t="shared" si="79"/>
        <v>0</v>
      </c>
      <c r="U183" s="8"/>
      <c r="V183" s="8">
        <f t="shared" si="80"/>
        <v>0</v>
      </c>
      <c r="W183" s="8">
        <f t="shared" si="81"/>
        <v>0</v>
      </c>
      <c r="X183" s="8">
        <f t="shared" si="97"/>
        <v>0</v>
      </c>
      <c r="Y183" s="8">
        <f>IFERROR((U183+V183)*INDEX([1]Sheet1!$A$1:$A$13,MATCH((U183+V183),[1]Sheet1!$B$1:$B$13)),0)</f>
        <v>0</v>
      </c>
      <c r="Z183" s="6">
        <f t="shared" si="82"/>
        <v>0</v>
      </c>
      <c r="AA183" s="8"/>
      <c r="AB183" s="8">
        <f t="shared" si="83"/>
        <v>0</v>
      </c>
      <c r="AC183" s="8">
        <f t="shared" si="84"/>
        <v>0</v>
      </c>
      <c r="AD183" s="8">
        <f t="shared" si="98"/>
        <v>0</v>
      </c>
      <c r="AE183" s="8">
        <f>IFERROR((AA183+AB183)*INDEX([1]Sheet1!$A$1:$A$13,MATCH((AA183+AB183),[1]Sheet1!$B$1:$B$13)),0)</f>
        <v>0</v>
      </c>
      <c r="AF183" s="6">
        <f t="shared" si="85"/>
        <v>0</v>
      </c>
      <c r="AG183" s="8"/>
      <c r="AH183" s="8">
        <f t="shared" si="86"/>
        <v>0</v>
      </c>
      <c r="AI183" s="8">
        <f t="shared" si="87"/>
        <v>0</v>
      </c>
      <c r="AJ183" s="8">
        <f t="shared" si="99"/>
        <v>0</v>
      </c>
      <c r="AK183" s="8">
        <f>IFERROR((AG183+AH183)*INDEX([1]Sheet1!$A$1:$A$13,MATCH((AG183+AH183),[1]Sheet1!$B$1:$B$13)),0)</f>
        <v>0</v>
      </c>
      <c r="AL183" s="6">
        <f t="shared" si="88"/>
        <v>0</v>
      </c>
      <c r="AM183" s="8"/>
      <c r="AN183" s="8">
        <f t="shared" si="89"/>
        <v>0</v>
      </c>
      <c r="AO183" s="8">
        <f t="shared" si="90"/>
        <v>0</v>
      </c>
      <c r="AP183" s="8">
        <f t="shared" si="37"/>
        <v>0</v>
      </c>
      <c r="AQ183" s="8">
        <f>IFERROR((AM183+AN183)*INDEX([1]Sheet1!$A$1:$A$13,MATCH((AM183+AN183),[1]Sheet1!$B$1:$B$13)),0)</f>
        <v>0</v>
      </c>
      <c r="AR183" s="6">
        <f t="shared" si="91"/>
        <v>0</v>
      </c>
      <c r="AS183" s="8"/>
      <c r="AT183" s="8">
        <f t="shared" si="92"/>
        <v>0</v>
      </c>
      <c r="AU183" s="8">
        <f t="shared" si="93"/>
        <v>0</v>
      </c>
      <c r="AV183" s="8">
        <f t="shared" si="38"/>
        <v>0</v>
      </c>
      <c r="AW183" s="8">
        <f>IFERROR((AS183+AT183)*INDEX([1]Sheet1!$A$1:$A$13,MATCH((AS183+AT183),[1]Sheet1!$B$1:$B$13)),0)</f>
        <v>0</v>
      </c>
      <c r="BC183" s="1" t="str">
        <f t="shared" si="94"/>
        <v/>
      </c>
    </row>
    <row r="184" spans="1:55" ht="18" customHeight="1" x14ac:dyDescent="0.2">
      <c r="A184" s="4"/>
      <c r="B184" s="5"/>
      <c r="C184" s="6"/>
      <c r="D184" s="6"/>
      <c r="E184" s="6"/>
      <c r="F184" s="4"/>
      <c r="G184" s="6"/>
      <c r="H184" s="6">
        <f t="shared" si="74"/>
        <v>0</v>
      </c>
      <c r="I184" s="8"/>
      <c r="J184" s="8"/>
      <c r="K184" s="8">
        <f t="shared" si="75"/>
        <v>0</v>
      </c>
      <c r="L184" s="8">
        <f t="shared" si="95"/>
        <v>0</v>
      </c>
      <c r="M184" s="8">
        <f>IFERROR((I184+J184)*INDEX([1]Sheet1!$A$1:$A$13,MATCH((I184+J184),[1]Sheet1!$B$1:$B$13)),0)</f>
        <v>0</v>
      </c>
      <c r="N184" s="6">
        <f t="shared" si="76"/>
        <v>0</v>
      </c>
      <c r="O184" s="8"/>
      <c r="P184" s="8">
        <f t="shared" si="77"/>
        <v>0</v>
      </c>
      <c r="Q184" s="8">
        <f t="shared" si="78"/>
        <v>0</v>
      </c>
      <c r="R184" s="8">
        <f t="shared" si="96"/>
        <v>0</v>
      </c>
      <c r="S184" s="8">
        <f>IFERROR((O184+P184)*INDEX([1]Sheet1!$A$1:$A$13,MATCH((O184+P184),[1]Sheet1!$B$1:$B$13)),0)</f>
        <v>0</v>
      </c>
      <c r="T184" s="6">
        <f t="shared" si="79"/>
        <v>0</v>
      </c>
      <c r="U184" s="8"/>
      <c r="V184" s="8">
        <f t="shared" si="80"/>
        <v>0</v>
      </c>
      <c r="W184" s="8">
        <f t="shared" si="81"/>
        <v>0</v>
      </c>
      <c r="X184" s="8">
        <f t="shared" si="97"/>
        <v>0</v>
      </c>
      <c r="Y184" s="8">
        <f>IFERROR((U184+V184)*INDEX([1]Sheet1!$A$1:$A$13,MATCH((U184+V184),[1]Sheet1!$B$1:$B$13)),0)</f>
        <v>0</v>
      </c>
      <c r="Z184" s="6">
        <f t="shared" si="82"/>
        <v>0</v>
      </c>
      <c r="AA184" s="8"/>
      <c r="AB184" s="8">
        <f t="shared" si="83"/>
        <v>0</v>
      </c>
      <c r="AC184" s="8">
        <f t="shared" si="84"/>
        <v>0</v>
      </c>
      <c r="AD184" s="8">
        <f t="shared" si="98"/>
        <v>0</v>
      </c>
      <c r="AE184" s="8">
        <f>IFERROR((AA184+AB184)*INDEX([1]Sheet1!$A$1:$A$13,MATCH((AA184+AB184),[1]Sheet1!$B$1:$B$13)),0)</f>
        <v>0</v>
      </c>
      <c r="AF184" s="6">
        <f t="shared" si="85"/>
        <v>0</v>
      </c>
      <c r="AG184" s="8"/>
      <c r="AH184" s="8">
        <f t="shared" si="86"/>
        <v>0</v>
      </c>
      <c r="AI184" s="8">
        <f t="shared" si="87"/>
        <v>0</v>
      </c>
      <c r="AJ184" s="8">
        <f t="shared" si="99"/>
        <v>0</v>
      </c>
      <c r="AK184" s="8">
        <f>IFERROR((AG184+AH184)*INDEX([1]Sheet1!$A$1:$A$13,MATCH((AG184+AH184),[1]Sheet1!$B$1:$B$13)),0)</f>
        <v>0</v>
      </c>
      <c r="AL184" s="6">
        <f t="shared" si="88"/>
        <v>0</v>
      </c>
      <c r="AM184" s="8"/>
      <c r="AN184" s="8">
        <f t="shared" si="89"/>
        <v>0</v>
      </c>
      <c r="AO184" s="8">
        <f t="shared" si="90"/>
        <v>0</v>
      </c>
      <c r="AP184" s="8">
        <f t="shared" si="37"/>
        <v>0</v>
      </c>
      <c r="AQ184" s="8">
        <f>IFERROR((AM184+AN184)*INDEX([1]Sheet1!$A$1:$A$13,MATCH((AM184+AN184),[1]Sheet1!$B$1:$B$13)),0)</f>
        <v>0</v>
      </c>
      <c r="AR184" s="6">
        <f t="shared" si="91"/>
        <v>0</v>
      </c>
      <c r="AS184" s="8"/>
      <c r="AT184" s="8">
        <f t="shared" si="92"/>
        <v>0</v>
      </c>
      <c r="AU184" s="8">
        <f t="shared" si="93"/>
        <v>0</v>
      </c>
      <c r="AV184" s="8">
        <f t="shared" si="38"/>
        <v>0</v>
      </c>
      <c r="AW184" s="8">
        <f>IFERROR((AS184+AT184)*INDEX([1]Sheet1!$A$1:$A$13,MATCH((AS184+AT184),[1]Sheet1!$B$1:$B$13)),0)</f>
        <v>0</v>
      </c>
      <c r="BC184" s="1" t="str">
        <f t="shared" si="94"/>
        <v/>
      </c>
    </row>
    <row r="185" spans="1:55" ht="18" customHeight="1" x14ac:dyDescent="0.2">
      <c r="A185" s="4"/>
      <c r="B185" s="5"/>
      <c r="C185" s="6"/>
      <c r="D185" s="6"/>
      <c r="E185" s="6"/>
      <c r="F185" s="4"/>
      <c r="G185" s="6"/>
      <c r="H185" s="6">
        <f t="shared" si="74"/>
        <v>0</v>
      </c>
      <c r="I185" s="8"/>
      <c r="J185" s="8"/>
      <c r="K185" s="8">
        <f t="shared" si="75"/>
        <v>0</v>
      </c>
      <c r="L185" s="8">
        <f t="shared" si="95"/>
        <v>0</v>
      </c>
      <c r="M185" s="8">
        <f>IFERROR((I185+J185)*INDEX([1]Sheet1!$A$1:$A$13,MATCH((I185+J185),[1]Sheet1!$B$1:$B$13)),0)</f>
        <v>0</v>
      </c>
      <c r="N185" s="6">
        <f t="shared" si="76"/>
        <v>0</v>
      </c>
      <c r="O185" s="8"/>
      <c r="P185" s="8">
        <f t="shared" si="77"/>
        <v>0</v>
      </c>
      <c r="Q185" s="8">
        <f t="shared" si="78"/>
        <v>0</v>
      </c>
      <c r="R185" s="8">
        <f t="shared" si="96"/>
        <v>0</v>
      </c>
      <c r="S185" s="8">
        <f>IFERROR((O185+P185)*INDEX([1]Sheet1!$A$1:$A$13,MATCH((O185+P185),[1]Sheet1!$B$1:$B$13)),0)</f>
        <v>0</v>
      </c>
      <c r="T185" s="6">
        <f t="shared" si="79"/>
        <v>0</v>
      </c>
      <c r="U185" s="8"/>
      <c r="V185" s="8">
        <f t="shared" si="80"/>
        <v>0</v>
      </c>
      <c r="W185" s="8">
        <f t="shared" si="81"/>
        <v>0</v>
      </c>
      <c r="X185" s="8">
        <f t="shared" si="97"/>
        <v>0</v>
      </c>
      <c r="Y185" s="8">
        <f>IFERROR((U185+V185)*INDEX([1]Sheet1!$A$1:$A$13,MATCH((U185+V185),[1]Sheet1!$B$1:$B$13)),0)</f>
        <v>0</v>
      </c>
      <c r="Z185" s="6">
        <f t="shared" si="82"/>
        <v>0</v>
      </c>
      <c r="AA185" s="8"/>
      <c r="AB185" s="8">
        <f t="shared" si="83"/>
        <v>0</v>
      </c>
      <c r="AC185" s="8">
        <f t="shared" si="84"/>
        <v>0</v>
      </c>
      <c r="AD185" s="8">
        <f t="shared" si="98"/>
        <v>0</v>
      </c>
      <c r="AE185" s="8">
        <f>IFERROR((AA185+AB185)*INDEX([1]Sheet1!$A$1:$A$13,MATCH((AA185+AB185),[1]Sheet1!$B$1:$B$13)),0)</f>
        <v>0</v>
      </c>
      <c r="AF185" s="6">
        <f t="shared" si="85"/>
        <v>0</v>
      </c>
      <c r="AG185" s="8"/>
      <c r="AH185" s="8">
        <f t="shared" si="86"/>
        <v>0</v>
      </c>
      <c r="AI185" s="8">
        <f t="shared" si="87"/>
        <v>0</v>
      </c>
      <c r="AJ185" s="8">
        <f t="shared" si="99"/>
        <v>0</v>
      </c>
      <c r="AK185" s="8">
        <f>IFERROR((AG185+AH185)*INDEX([1]Sheet1!$A$1:$A$13,MATCH((AG185+AH185),[1]Sheet1!$B$1:$B$13)),0)</f>
        <v>0</v>
      </c>
      <c r="AL185" s="6">
        <f t="shared" si="88"/>
        <v>0</v>
      </c>
      <c r="AM185" s="8"/>
      <c r="AN185" s="8">
        <f t="shared" si="89"/>
        <v>0</v>
      </c>
      <c r="AO185" s="8">
        <f t="shared" si="90"/>
        <v>0</v>
      </c>
      <c r="AP185" s="8">
        <f t="shared" si="37"/>
        <v>0</v>
      </c>
      <c r="AQ185" s="8">
        <f>IFERROR((AM185+AN185)*INDEX([1]Sheet1!$A$1:$A$13,MATCH((AM185+AN185),[1]Sheet1!$B$1:$B$13)),0)</f>
        <v>0</v>
      </c>
      <c r="AR185" s="6">
        <f t="shared" si="91"/>
        <v>0</v>
      </c>
      <c r="AS185" s="8"/>
      <c r="AT185" s="8">
        <f t="shared" si="92"/>
        <v>0</v>
      </c>
      <c r="AU185" s="8">
        <f t="shared" si="93"/>
        <v>0</v>
      </c>
      <c r="AV185" s="8">
        <f t="shared" si="38"/>
        <v>0</v>
      </c>
      <c r="AW185" s="8">
        <f>IFERROR((AS185+AT185)*INDEX([1]Sheet1!$A$1:$A$13,MATCH((AS185+AT185),[1]Sheet1!$B$1:$B$13)),0)</f>
        <v>0</v>
      </c>
      <c r="BC185" s="1" t="str">
        <f t="shared" si="94"/>
        <v/>
      </c>
    </row>
    <row r="186" spans="1:55" ht="18" customHeight="1" x14ac:dyDescent="0.2">
      <c r="A186" s="4"/>
      <c r="B186" s="5"/>
      <c r="C186" s="6"/>
      <c r="D186" s="6"/>
      <c r="E186" s="6"/>
      <c r="F186" s="4"/>
      <c r="G186" s="6"/>
      <c r="H186" s="6">
        <f t="shared" si="74"/>
        <v>0</v>
      </c>
      <c r="I186" s="8"/>
      <c r="J186" s="8"/>
      <c r="K186" s="8">
        <f t="shared" si="75"/>
        <v>0</v>
      </c>
      <c r="L186" s="8">
        <f t="shared" si="95"/>
        <v>0</v>
      </c>
      <c r="M186" s="8">
        <f>IFERROR((I186+J186)*INDEX([1]Sheet1!$A$1:$A$13,MATCH((I186+J186),[1]Sheet1!$B$1:$B$13)),0)</f>
        <v>0</v>
      </c>
      <c r="N186" s="6">
        <f t="shared" si="76"/>
        <v>0</v>
      </c>
      <c r="O186" s="8"/>
      <c r="P186" s="8">
        <f t="shared" si="77"/>
        <v>0</v>
      </c>
      <c r="Q186" s="8">
        <f t="shared" si="78"/>
        <v>0</v>
      </c>
      <c r="R186" s="8">
        <f t="shared" si="96"/>
        <v>0</v>
      </c>
      <c r="S186" s="8">
        <f>IFERROR((O186+P186)*INDEX([1]Sheet1!$A$1:$A$13,MATCH((O186+P186),[1]Sheet1!$B$1:$B$13)),0)</f>
        <v>0</v>
      </c>
      <c r="T186" s="6">
        <f t="shared" si="79"/>
        <v>0</v>
      </c>
      <c r="U186" s="8"/>
      <c r="V186" s="8">
        <f t="shared" si="80"/>
        <v>0</v>
      </c>
      <c r="W186" s="8">
        <f t="shared" si="81"/>
        <v>0</v>
      </c>
      <c r="X186" s="8">
        <f t="shared" si="97"/>
        <v>0</v>
      </c>
      <c r="Y186" s="8">
        <f>IFERROR((U186+V186)*INDEX([1]Sheet1!$A$1:$A$13,MATCH((U186+V186),[1]Sheet1!$B$1:$B$13)),0)</f>
        <v>0</v>
      </c>
      <c r="Z186" s="6">
        <f t="shared" si="82"/>
        <v>0</v>
      </c>
      <c r="AA186" s="8"/>
      <c r="AB186" s="8">
        <f t="shared" si="83"/>
        <v>0</v>
      </c>
      <c r="AC186" s="8">
        <f t="shared" si="84"/>
        <v>0</v>
      </c>
      <c r="AD186" s="8">
        <f t="shared" si="98"/>
        <v>0</v>
      </c>
      <c r="AE186" s="8">
        <f>IFERROR((AA186+AB186)*INDEX([1]Sheet1!$A$1:$A$13,MATCH((AA186+AB186),[1]Sheet1!$B$1:$B$13)),0)</f>
        <v>0</v>
      </c>
      <c r="AF186" s="6">
        <f t="shared" si="85"/>
        <v>0</v>
      </c>
      <c r="AG186" s="8"/>
      <c r="AH186" s="8">
        <f t="shared" si="86"/>
        <v>0</v>
      </c>
      <c r="AI186" s="8">
        <f t="shared" si="87"/>
        <v>0</v>
      </c>
      <c r="AJ186" s="8">
        <f t="shared" si="99"/>
        <v>0</v>
      </c>
      <c r="AK186" s="8">
        <f>IFERROR((AG186+AH186)*INDEX([1]Sheet1!$A$1:$A$13,MATCH((AG186+AH186),[1]Sheet1!$B$1:$B$13)),0)</f>
        <v>0</v>
      </c>
      <c r="AL186" s="6">
        <f t="shared" si="88"/>
        <v>0</v>
      </c>
      <c r="AM186" s="8"/>
      <c r="AN186" s="8">
        <f t="shared" si="89"/>
        <v>0</v>
      </c>
      <c r="AO186" s="8">
        <f t="shared" si="90"/>
        <v>0</v>
      </c>
      <c r="AP186" s="8">
        <f t="shared" si="37"/>
        <v>0</v>
      </c>
      <c r="AQ186" s="8">
        <f>IFERROR((AM186+AN186)*INDEX([1]Sheet1!$A$1:$A$13,MATCH((AM186+AN186),[1]Sheet1!$B$1:$B$13)),0)</f>
        <v>0</v>
      </c>
      <c r="AR186" s="6">
        <f t="shared" si="91"/>
        <v>0</v>
      </c>
      <c r="AS186" s="8"/>
      <c r="AT186" s="8">
        <f t="shared" si="92"/>
        <v>0</v>
      </c>
      <c r="AU186" s="8">
        <f t="shared" si="93"/>
        <v>0</v>
      </c>
      <c r="AV186" s="8">
        <f t="shared" si="38"/>
        <v>0</v>
      </c>
      <c r="AW186" s="8">
        <f>IFERROR((AS186+AT186)*INDEX([1]Sheet1!$A$1:$A$13,MATCH((AS186+AT186),[1]Sheet1!$B$1:$B$13)),0)</f>
        <v>0</v>
      </c>
      <c r="BC186" s="1" t="str">
        <f t="shared" si="94"/>
        <v/>
      </c>
    </row>
    <row r="187" spans="1:55" ht="18" customHeight="1" x14ac:dyDescent="0.2">
      <c r="A187" s="4"/>
      <c r="B187" s="6"/>
      <c r="C187" s="6"/>
      <c r="D187" s="6"/>
      <c r="E187" s="6"/>
      <c r="F187" s="4"/>
      <c r="G187" s="6"/>
      <c r="H187" s="6">
        <f t="shared" si="74"/>
        <v>0</v>
      </c>
      <c r="I187" s="8"/>
      <c r="J187" s="8"/>
      <c r="K187" s="8">
        <f t="shared" si="75"/>
        <v>0</v>
      </c>
      <c r="L187" s="8">
        <f t="shared" si="95"/>
        <v>0</v>
      </c>
      <c r="M187" s="8">
        <f>IFERROR((I187+J187)*INDEX([1]Sheet1!$A$1:$A$13,MATCH((I187+J187),[1]Sheet1!$B$1:$B$13)),0)</f>
        <v>0</v>
      </c>
      <c r="N187" s="6">
        <f t="shared" si="76"/>
        <v>0</v>
      </c>
      <c r="O187" s="8"/>
      <c r="P187" s="8">
        <f t="shared" si="77"/>
        <v>0</v>
      </c>
      <c r="Q187" s="8">
        <f t="shared" si="78"/>
        <v>0</v>
      </c>
      <c r="R187" s="8">
        <f t="shared" si="96"/>
        <v>0</v>
      </c>
      <c r="S187" s="8">
        <f>IFERROR((O187+P187)*INDEX([1]Sheet1!$A$1:$A$13,MATCH((O187+P187),[1]Sheet1!$B$1:$B$13)),0)</f>
        <v>0</v>
      </c>
      <c r="T187" s="6">
        <f t="shared" si="79"/>
        <v>0</v>
      </c>
      <c r="U187" s="8"/>
      <c r="V187" s="8">
        <f t="shared" si="80"/>
        <v>0</v>
      </c>
      <c r="W187" s="8">
        <f t="shared" si="81"/>
        <v>0</v>
      </c>
      <c r="X187" s="8">
        <f t="shared" si="97"/>
        <v>0</v>
      </c>
      <c r="Y187" s="8">
        <f>IFERROR((U187+V187)*INDEX([1]Sheet1!$A$1:$A$13,MATCH((U187+V187),[1]Sheet1!$B$1:$B$13)),0)</f>
        <v>0</v>
      </c>
      <c r="Z187" s="6">
        <f t="shared" si="82"/>
        <v>0</v>
      </c>
      <c r="AA187" s="8"/>
      <c r="AB187" s="8">
        <f t="shared" si="83"/>
        <v>0</v>
      </c>
      <c r="AC187" s="8">
        <f t="shared" si="84"/>
        <v>0</v>
      </c>
      <c r="AD187" s="8">
        <f t="shared" si="98"/>
        <v>0</v>
      </c>
      <c r="AE187" s="8">
        <f>IFERROR((AA187+AB187)*INDEX([1]Sheet1!$A$1:$A$13,MATCH((AA187+AB187),[1]Sheet1!$B$1:$B$13)),0)</f>
        <v>0</v>
      </c>
      <c r="AF187" s="6">
        <f t="shared" si="85"/>
        <v>0</v>
      </c>
      <c r="AG187" s="8"/>
      <c r="AH187" s="8">
        <f t="shared" si="86"/>
        <v>0</v>
      </c>
      <c r="AI187" s="8">
        <f t="shared" si="87"/>
        <v>0</v>
      </c>
      <c r="AJ187" s="8">
        <f t="shared" si="99"/>
        <v>0</v>
      </c>
      <c r="AK187" s="8">
        <f>IFERROR((AG187+AH187)*INDEX([1]Sheet1!$A$1:$A$13,MATCH((AG187+AH187),[1]Sheet1!$B$1:$B$13)),0)</f>
        <v>0</v>
      </c>
      <c r="AL187" s="6">
        <f t="shared" si="88"/>
        <v>0</v>
      </c>
      <c r="AM187" s="8"/>
      <c r="AN187" s="8">
        <f t="shared" si="89"/>
        <v>0</v>
      </c>
      <c r="AO187" s="8">
        <f t="shared" si="90"/>
        <v>0</v>
      </c>
      <c r="AP187" s="8">
        <f t="shared" si="37"/>
        <v>0</v>
      </c>
      <c r="AQ187" s="8">
        <f>IFERROR((AM187+AN187)*INDEX([1]Sheet1!$A$1:$A$13,MATCH((AM187+AN187),[1]Sheet1!$B$1:$B$13)),0)</f>
        <v>0</v>
      </c>
      <c r="AR187" s="6">
        <f t="shared" si="91"/>
        <v>0</v>
      </c>
      <c r="AS187" s="8"/>
      <c r="AT187" s="8">
        <f t="shared" si="92"/>
        <v>0</v>
      </c>
      <c r="AU187" s="8">
        <f t="shared" si="93"/>
        <v>0</v>
      </c>
      <c r="AV187" s="8">
        <f t="shared" si="38"/>
        <v>0</v>
      </c>
      <c r="AW187" s="8">
        <f>IFERROR((AS187+AT187)*INDEX([1]Sheet1!$A$1:$A$13,MATCH((AS187+AT187),[1]Sheet1!$B$1:$B$13)),0)</f>
        <v>0</v>
      </c>
      <c r="BC187" s="1" t="str">
        <f t="shared" si="94"/>
        <v/>
      </c>
    </row>
    <row r="188" spans="1:55" ht="18" customHeight="1" x14ac:dyDescent="0.2">
      <c r="A188" s="4"/>
      <c r="B188" s="6"/>
      <c r="C188" s="6"/>
      <c r="D188" s="6"/>
      <c r="E188" s="6"/>
      <c r="F188" s="4"/>
      <c r="G188" s="6"/>
      <c r="H188" s="6">
        <f t="shared" si="74"/>
        <v>0</v>
      </c>
      <c r="I188" s="8"/>
      <c r="J188" s="8"/>
      <c r="K188" s="8">
        <f t="shared" si="75"/>
        <v>0</v>
      </c>
      <c r="L188" s="8">
        <f t="shared" si="95"/>
        <v>0</v>
      </c>
      <c r="M188" s="8">
        <f>IFERROR((I188+J188)*INDEX([1]Sheet1!$A$1:$A$13,MATCH((I188+J188),[1]Sheet1!$B$1:$B$13)),0)</f>
        <v>0</v>
      </c>
      <c r="N188" s="6">
        <f t="shared" si="76"/>
        <v>0</v>
      </c>
      <c r="O188" s="8"/>
      <c r="P188" s="8">
        <f t="shared" si="77"/>
        <v>0</v>
      </c>
      <c r="Q188" s="8">
        <f t="shared" si="78"/>
        <v>0</v>
      </c>
      <c r="R188" s="8">
        <f t="shared" si="96"/>
        <v>0</v>
      </c>
      <c r="S188" s="8">
        <f>IFERROR((O188+P188)*INDEX([1]Sheet1!$A$1:$A$13,MATCH((O188+P188),[1]Sheet1!$B$1:$B$13)),0)</f>
        <v>0</v>
      </c>
      <c r="T188" s="6">
        <f t="shared" si="79"/>
        <v>0</v>
      </c>
      <c r="U188" s="8"/>
      <c r="V188" s="8">
        <f t="shared" si="80"/>
        <v>0</v>
      </c>
      <c r="W188" s="8">
        <f t="shared" si="81"/>
        <v>0</v>
      </c>
      <c r="X188" s="8">
        <f t="shared" si="97"/>
        <v>0</v>
      </c>
      <c r="Y188" s="8">
        <f>IFERROR((U188+V188)*INDEX([1]Sheet1!$A$1:$A$13,MATCH((U188+V188),[1]Sheet1!$B$1:$B$13)),0)</f>
        <v>0</v>
      </c>
      <c r="Z188" s="6">
        <f t="shared" si="82"/>
        <v>0</v>
      </c>
      <c r="AA188" s="8"/>
      <c r="AB188" s="8">
        <f t="shared" si="83"/>
        <v>0</v>
      </c>
      <c r="AC188" s="8">
        <f t="shared" si="84"/>
        <v>0</v>
      </c>
      <c r="AD188" s="8">
        <f t="shared" si="98"/>
        <v>0</v>
      </c>
      <c r="AE188" s="8">
        <f>IFERROR((AA188+AB188)*INDEX([1]Sheet1!$A$1:$A$13,MATCH((AA188+AB188),[1]Sheet1!$B$1:$B$13)),0)</f>
        <v>0</v>
      </c>
      <c r="AF188" s="6">
        <f t="shared" si="85"/>
        <v>0</v>
      </c>
      <c r="AG188" s="8"/>
      <c r="AH188" s="8">
        <f t="shared" si="86"/>
        <v>0</v>
      </c>
      <c r="AI188" s="8">
        <f t="shared" si="87"/>
        <v>0</v>
      </c>
      <c r="AJ188" s="8">
        <f t="shared" si="99"/>
        <v>0</v>
      </c>
      <c r="AK188" s="8">
        <f>IFERROR((AG188+AH188)*INDEX([1]Sheet1!$A$1:$A$13,MATCH((AG188+AH188),[1]Sheet1!$B$1:$B$13)),0)</f>
        <v>0</v>
      </c>
      <c r="AL188" s="6">
        <f t="shared" si="88"/>
        <v>0</v>
      </c>
      <c r="AM188" s="8"/>
      <c r="AN188" s="8">
        <f t="shared" si="89"/>
        <v>0</v>
      </c>
      <c r="AO188" s="8">
        <f t="shared" si="90"/>
        <v>0</v>
      </c>
      <c r="AP188" s="8">
        <f t="shared" si="37"/>
        <v>0</v>
      </c>
      <c r="AQ188" s="8">
        <f>IFERROR((AM188+AN188)*INDEX([1]Sheet1!$A$1:$A$13,MATCH((AM188+AN188),[1]Sheet1!$B$1:$B$13)),0)</f>
        <v>0</v>
      </c>
      <c r="AR188" s="6">
        <f t="shared" si="91"/>
        <v>0</v>
      </c>
      <c r="AS188" s="8"/>
      <c r="AT188" s="8">
        <f t="shared" si="92"/>
        <v>0</v>
      </c>
      <c r="AU188" s="8">
        <f t="shared" si="93"/>
        <v>0</v>
      </c>
      <c r="AV188" s="8">
        <f t="shared" si="38"/>
        <v>0</v>
      </c>
      <c r="AW188" s="8">
        <f>IFERROR((AS188+AT188)*INDEX([1]Sheet1!$A$1:$A$13,MATCH((AS188+AT188),[1]Sheet1!$B$1:$B$13)),0)</f>
        <v>0</v>
      </c>
      <c r="BC188" s="1" t="str">
        <f t="shared" si="94"/>
        <v/>
      </c>
    </row>
    <row r="189" spans="1:55" ht="18" customHeight="1" x14ac:dyDescent="0.2">
      <c r="A189" s="4"/>
      <c r="B189" s="6"/>
      <c r="C189" s="6"/>
      <c r="D189" s="6"/>
      <c r="E189" s="6"/>
      <c r="F189" s="4"/>
      <c r="G189" s="6"/>
      <c r="H189" s="6">
        <f t="shared" si="74"/>
        <v>0</v>
      </c>
      <c r="I189" s="8"/>
      <c r="J189" s="8"/>
      <c r="K189" s="8">
        <f t="shared" si="75"/>
        <v>0</v>
      </c>
      <c r="L189" s="8">
        <f t="shared" si="95"/>
        <v>0</v>
      </c>
      <c r="M189" s="8">
        <f>IFERROR((I189+J189)*INDEX([1]Sheet1!$A$1:$A$13,MATCH((I189+J189),[1]Sheet1!$B$1:$B$13)),0)</f>
        <v>0</v>
      </c>
      <c r="N189" s="6">
        <f t="shared" si="76"/>
        <v>0</v>
      </c>
      <c r="O189" s="8"/>
      <c r="P189" s="8">
        <f t="shared" si="77"/>
        <v>0</v>
      </c>
      <c r="Q189" s="8">
        <f t="shared" si="78"/>
        <v>0</v>
      </c>
      <c r="R189" s="8">
        <f t="shared" si="96"/>
        <v>0</v>
      </c>
      <c r="S189" s="8">
        <f>IFERROR((O189+P189)*INDEX([1]Sheet1!$A$1:$A$13,MATCH((O189+P189),[1]Sheet1!$B$1:$B$13)),0)</f>
        <v>0</v>
      </c>
      <c r="T189" s="6">
        <f t="shared" si="79"/>
        <v>0</v>
      </c>
      <c r="U189" s="8"/>
      <c r="V189" s="8">
        <f t="shared" si="80"/>
        <v>0</v>
      </c>
      <c r="W189" s="8">
        <f t="shared" si="81"/>
        <v>0</v>
      </c>
      <c r="X189" s="8">
        <f t="shared" si="97"/>
        <v>0</v>
      </c>
      <c r="Y189" s="8">
        <f>IFERROR((U189+V189)*INDEX([1]Sheet1!$A$1:$A$13,MATCH((U189+V189),[1]Sheet1!$B$1:$B$13)),0)</f>
        <v>0</v>
      </c>
      <c r="Z189" s="6">
        <f t="shared" si="82"/>
        <v>0</v>
      </c>
      <c r="AA189" s="8"/>
      <c r="AB189" s="8">
        <f t="shared" si="83"/>
        <v>0</v>
      </c>
      <c r="AC189" s="8">
        <f t="shared" si="84"/>
        <v>0</v>
      </c>
      <c r="AD189" s="8">
        <f t="shared" si="98"/>
        <v>0</v>
      </c>
      <c r="AE189" s="8">
        <f>IFERROR((AA189+AB189)*INDEX([1]Sheet1!$A$1:$A$13,MATCH((AA189+AB189),[1]Sheet1!$B$1:$B$13)),0)</f>
        <v>0</v>
      </c>
      <c r="AF189" s="6">
        <f t="shared" si="85"/>
        <v>0</v>
      </c>
      <c r="AG189" s="8"/>
      <c r="AH189" s="8">
        <f t="shared" si="86"/>
        <v>0</v>
      </c>
      <c r="AI189" s="8">
        <f t="shared" si="87"/>
        <v>0</v>
      </c>
      <c r="AJ189" s="8">
        <f t="shared" si="99"/>
        <v>0</v>
      </c>
      <c r="AK189" s="8">
        <f>IFERROR((AG189+AH189)*INDEX([1]Sheet1!$A$1:$A$13,MATCH((AG189+AH189),[1]Sheet1!$B$1:$B$13)),0)</f>
        <v>0</v>
      </c>
      <c r="AL189" s="6">
        <f t="shared" si="88"/>
        <v>0</v>
      </c>
      <c r="AM189" s="8"/>
      <c r="AN189" s="8">
        <f t="shared" si="89"/>
        <v>0</v>
      </c>
      <c r="AO189" s="8">
        <f t="shared" si="90"/>
        <v>0</v>
      </c>
      <c r="AP189" s="8">
        <f t="shared" si="37"/>
        <v>0</v>
      </c>
      <c r="AQ189" s="8">
        <f>IFERROR((AM189+AN189)*INDEX([1]Sheet1!$A$1:$A$13,MATCH((AM189+AN189),[1]Sheet1!$B$1:$B$13)),0)</f>
        <v>0</v>
      </c>
      <c r="AR189" s="6">
        <f t="shared" si="91"/>
        <v>0</v>
      </c>
      <c r="AS189" s="8"/>
      <c r="AT189" s="8">
        <f t="shared" si="92"/>
        <v>0</v>
      </c>
      <c r="AU189" s="8">
        <f t="shared" si="93"/>
        <v>0</v>
      </c>
      <c r="AV189" s="8">
        <f t="shared" si="38"/>
        <v>0</v>
      </c>
      <c r="AW189" s="8">
        <f>IFERROR((AS189+AT189)*INDEX([1]Sheet1!$A$1:$A$13,MATCH((AS189+AT189),[1]Sheet1!$B$1:$B$13)),0)</f>
        <v>0</v>
      </c>
      <c r="BC189" s="1" t="str">
        <f t="shared" si="94"/>
        <v/>
      </c>
    </row>
    <row r="190" spans="1:55" ht="18" customHeight="1" x14ac:dyDescent="0.2">
      <c r="A190" s="4"/>
      <c r="B190" s="5"/>
      <c r="C190" s="6"/>
      <c r="D190" s="6"/>
      <c r="E190" s="6"/>
      <c r="F190" s="4"/>
      <c r="G190" s="6"/>
      <c r="H190" s="6">
        <f t="shared" si="74"/>
        <v>0</v>
      </c>
      <c r="I190" s="8"/>
      <c r="J190" s="8"/>
      <c r="K190" s="8">
        <f t="shared" si="75"/>
        <v>0</v>
      </c>
      <c r="L190" s="8">
        <f t="shared" si="95"/>
        <v>0</v>
      </c>
      <c r="M190" s="8">
        <f>IFERROR((I190+J190)*INDEX([1]Sheet1!$A$1:$A$13,MATCH((I190+J190),[1]Sheet1!$B$1:$B$13)),0)</f>
        <v>0</v>
      </c>
      <c r="N190" s="6">
        <f t="shared" si="76"/>
        <v>0</v>
      </c>
      <c r="O190" s="8"/>
      <c r="P190" s="8">
        <f t="shared" si="77"/>
        <v>0</v>
      </c>
      <c r="Q190" s="8">
        <f t="shared" si="78"/>
        <v>0</v>
      </c>
      <c r="R190" s="8">
        <f t="shared" si="96"/>
        <v>0</v>
      </c>
      <c r="S190" s="8">
        <f>IFERROR((O190+P190)*INDEX([1]Sheet1!$A$1:$A$13,MATCH((O190+P190),[1]Sheet1!$B$1:$B$13)),0)</f>
        <v>0</v>
      </c>
      <c r="T190" s="6">
        <f t="shared" si="79"/>
        <v>0</v>
      </c>
      <c r="U190" s="8"/>
      <c r="V190" s="8">
        <f t="shared" si="80"/>
        <v>0</v>
      </c>
      <c r="W190" s="8">
        <f t="shared" si="81"/>
        <v>0</v>
      </c>
      <c r="X190" s="8">
        <f t="shared" si="97"/>
        <v>0</v>
      </c>
      <c r="Y190" s="8">
        <f>IFERROR((U190+V190)*INDEX([1]Sheet1!$A$1:$A$13,MATCH((U190+V190),[1]Sheet1!$B$1:$B$13)),0)</f>
        <v>0</v>
      </c>
      <c r="Z190" s="6">
        <f t="shared" si="82"/>
        <v>0</v>
      </c>
      <c r="AA190" s="8"/>
      <c r="AB190" s="8">
        <f t="shared" si="83"/>
        <v>0</v>
      </c>
      <c r="AC190" s="8">
        <f t="shared" si="84"/>
        <v>0</v>
      </c>
      <c r="AD190" s="8">
        <f t="shared" si="98"/>
        <v>0</v>
      </c>
      <c r="AE190" s="8">
        <f>IFERROR((AA190+AB190)*INDEX([1]Sheet1!$A$1:$A$13,MATCH((AA190+AB190),[1]Sheet1!$B$1:$B$13)),0)</f>
        <v>0</v>
      </c>
      <c r="AF190" s="6">
        <f t="shared" si="85"/>
        <v>0</v>
      </c>
      <c r="AG190" s="8"/>
      <c r="AH190" s="8">
        <f t="shared" si="86"/>
        <v>0</v>
      </c>
      <c r="AI190" s="8">
        <f t="shared" si="87"/>
        <v>0</v>
      </c>
      <c r="AJ190" s="8">
        <f t="shared" si="99"/>
        <v>0</v>
      </c>
      <c r="AK190" s="8">
        <f>IFERROR((AG190+AH190)*INDEX([1]Sheet1!$A$1:$A$13,MATCH((AG190+AH190),[1]Sheet1!$B$1:$B$13)),0)</f>
        <v>0</v>
      </c>
      <c r="AL190" s="6">
        <f t="shared" si="88"/>
        <v>0</v>
      </c>
      <c r="AM190" s="8"/>
      <c r="AN190" s="8">
        <f t="shared" si="89"/>
        <v>0</v>
      </c>
      <c r="AO190" s="8">
        <f t="shared" si="90"/>
        <v>0</v>
      </c>
      <c r="AP190" s="8">
        <f t="shared" si="37"/>
        <v>0</v>
      </c>
      <c r="AQ190" s="8">
        <f>IFERROR((AM190+AN190)*INDEX([1]Sheet1!$A$1:$A$13,MATCH((AM190+AN190),[1]Sheet1!$B$1:$B$13)),0)</f>
        <v>0</v>
      </c>
      <c r="AR190" s="6">
        <f t="shared" si="91"/>
        <v>0</v>
      </c>
      <c r="AS190" s="8"/>
      <c r="AT190" s="8">
        <f t="shared" si="92"/>
        <v>0</v>
      </c>
      <c r="AU190" s="8">
        <f t="shared" si="93"/>
        <v>0</v>
      </c>
      <c r="AV190" s="8">
        <f t="shared" si="38"/>
        <v>0</v>
      </c>
      <c r="AW190" s="8">
        <f>IFERROR((AS190+AT190)*INDEX([1]Sheet1!$A$1:$A$13,MATCH((AS190+AT190),[1]Sheet1!$B$1:$B$13)),0)</f>
        <v>0</v>
      </c>
      <c r="BC190" s="1" t="str">
        <f t="shared" si="94"/>
        <v/>
      </c>
    </row>
    <row r="191" spans="1:55" ht="18" customHeight="1" x14ac:dyDescent="0.2">
      <c r="A191" s="4"/>
      <c r="B191" s="6"/>
      <c r="C191" s="6"/>
      <c r="D191" s="6"/>
      <c r="E191" s="6"/>
      <c r="F191" s="4"/>
      <c r="G191" s="6"/>
      <c r="H191" s="6">
        <f t="shared" si="74"/>
        <v>0</v>
      </c>
      <c r="I191" s="8"/>
      <c r="J191" s="8"/>
      <c r="K191" s="8">
        <f t="shared" si="75"/>
        <v>0</v>
      </c>
      <c r="L191" s="8">
        <f t="shared" si="95"/>
        <v>0</v>
      </c>
      <c r="M191" s="8">
        <f>IFERROR((I191+J191)*INDEX([1]Sheet1!$A$1:$A$13,MATCH((I191+J191),[1]Sheet1!$B$1:$B$13)),0)</f>
        <v>0</v>
      </c>
      <c r="N191" s="6">
        <f t="shared" si="76"/>
        <v>0</v>
      </c>
      <c r="O191" s="8"/>
      <c r="P191" s="8">
        <f t="shared" si="77"/>
        <v>0</v>
      </c>
      <c r="Q191" s="8">
        <f t="shared" si="78"/>
        <v>0</v>
      </c>
      <c r="R191" s="8">
        <f t="shared" si="96"/>
        <v>0</v>
      </c>
      <c r="S191" s="8">
        <f>IFERROR((O191+P191)*INDEX([1]Sheet1!$A$1:$A$13,MATCH((O191+P191),[1]Sheet1!$B$1:$B$13)),0)</f>
        <v>0</v>
      </c>
      <c r="T191" s="6">
        <f t="shared" si="79"/>
        <v>0</v>
      </c>
      <c r="U191" s="8"/>
      <c r="V191" s="8">
        <f t="shared" si="80"/>
        <v>0</v>
      </c>
      <c r="W191" s="8">
        <f t="shared" si="81"/>
        <v>0</v>
      </c>
      <c r="X191" s="8">
        <f t="shared" si="97"/>
        <v>0</v>
      </c>
      <c r="Y191" s="8">
        <f>IFERROR((U191+V191)*INDEX([1]Sheet1!$A$1:$A$13,MATCH((U191+V191),[1]Sheet1!$B$1:$B$13)),0)</f>
        <v>0</v>
      </c>
      <c r="Z191" s="6">
        <f t="shared" si="82"/>
        <v>0</v>
      </c>
      <c r="AA191" s="8"/>
      <c r="AB191" s="8">
        <f t="shared" si="83"/>
        <v>0</v>
      </c>
      <c r="AC191" s="8">
        <f t="shared" si="84"/>
        <v>0</v>
      </c>
      <c r="AD191" s="8">
        <f t="shared" si="98"/>
        <v>0</v>
      </c>
      <c r="AE191" s="8">
        <f>IFERROR((AA191+AB191)*INDEX([1]Sheet1!$A$1:$A$13,MATCH((AA191+AB191),[1]Sheet1!$B$1:$B$13)),0)</f>
        <v>0</v>
      </c>
      <c r="AF191" s="6">
        <f t="shared" si="85"/>
        <v>0</v>
      </c>
      <c r="AG191" s="8"/>
      <c r="AH191" s="8">
        <f t="shared" si="86"/>
        <v>0</v>
      </c>
      <c r="AI191" s="8">
        <f t="shared" si="87"/>
        <v>0</v>
      </c>
      <c r="AJ191" s="8">
        <f t="shared" si="99"/>
        <v>0</v>
      </c>
      <c r="AK191" s="8">
        <f>IFERROR((AG191+AH191)*INDEX([1]Sheet1!$A$1:$A$13,MATCH((AG191+AH191),[1]Sheet1!$B$1:$B$13)),0)</f>
        <v>0</v>
      </c>
      <c r="AL191" s="6">
        <f t="shared" si="88"/>
        <v>0</v>
      </c>
      <c r="AM191" s="8"/>
      <c r="AN191" s="8">
        <f t="shared" si="89"/>
        <v>0</v>
      </c>
      <c r="AO191" s="8">
        <f t="shared" si="90"/>
        <v>0</v>
      </c>
      <c r="AP191" s="8">
        <f t="shared" si="37"/>
        <v>0</v>
      </c>
      <c r="AQ191" s="8">
        <f>IFERROR((AM191+AN191)*INDEX([1]Sheet1!$A$1:$A$13,MATCH((AM191+AN191),[1]Sheet1!$B$1:$B$13)),0)</f>
        <v>0</v>
      </c>
      <c r="AR191" s="6">
        <f t="shared" si="91"/>
        <v>0</v>
      </c>
      <c r="AS191" s="8"/>
      <c r="AT191" s="8">
        <f t="shared" si="92"/>
        <v>0</v>
      </c>
      <c r="AU191" s="8">
        <f t="shared" si="93"/>
        <v>0</v>
      </c>
      <c r="AV191" s="8">
        <f t="shared" si="38"/>
        <v>0</v>
      </c>
      <c r="AW191" s="8">
        <f>IFERROR((AS191+AT191)*INDEX([1]Sheet1!$A$1:$A$13,MATCH((AS191+AT191),[1]Sheet1!$B$1:$B$13)),0)</f>
        <v>0</v>
      </c>
      <c r="BC191" s="1" t="str">
        <f t="shared" si="94"/>
        <v/>
      </c>
    </row>
    <row r="192" spans="1:55" ht="18" customHeight="1" x14ac:dyDescent="0.2">
      <c r="A192" s="4"/>
      <c r="B192" s="6"/>
      <c r="C192" s="6"/>
      <c r="D192" s="6"/>
      <c r="E192" s="6"/>
      <c r="F192" s="4"/>
      <c r="G192" s="7"/>
      <c r="H192" s="6">
        <f t="shared" si="74"/>
        <v>0</v>
      </c>
      <c r="I192" s="8"/>
      <c r="J192" s="8"/>
      <c r="K192" s="8">
        <f t="shared" si="75"/>
        <v>0</v>
      </c>
      <c r="L192" s="8">
        <f t="shared" si="95"/>
        <v>0</v>
      </c>
      <c r="M192" s="8">
        <f>IFERROR((I192+J192)*INDEX([1]Sheet1!$A$1:$A$13,MATCH((I192+J192),[1]Sheet1!$B$1:$B$13)),0)</f>
        <v>0</v>
      </c>
      <c r="N192" s="6">
        <f t="shared" si="76"/>
        <v>0</v>
      </c>
      <c r="O192" s="8"/>
      <c r="P192" s="8">
        <f t="shared" si="77"/>
        <v>0</v>
      </c>
      <c r="Q192" s="8">
        <f t="shared" si="78"/>
        <v>0</v>
      </c>
      <c r="R192" s="8">
        <f t="shared" si="96"/>
        <v>0</v>
      </c>
      <c r="S192" s="8">
        <f>IFERROR((O192+P192)*INDEX([1]Sheet1!$A$1:$A$13,MATCH((O192+P192),[1]Sheet1!$B$1:$B$13)),0)</f>
        <v>0</v>
      </c>
      <c r="T192" s="6">
        <f t="shared" si="79"/>
        <v>0</v>
      </c>
      <c r="U192" s="8"/>
      <c r="V192" s="8">
        <f t="shared" si="80"/>
        <v>0</v>
      </c>
      <c r="W192" s="8">
        <f t="shared" si="81"/>
        <v>0</v>
      </c>
      <c r="X192" s="8">
        <f t="shared" si="97"/>
        <v>0</v>
      </c>
      <c r="Y192" s="8">
        <f>IFERROR((U192+V192)*INDEX([1]Sheet1!$A$1:$A$13,MATCH((U192+V192),[1]Sheet1!$B$1:$B$13)),0)</f>
        <v>0</v>
      </c>
      <c r="Z192" s="6">
        <f t="shared" si="82"/>
        <v>0</v>
      </c>
      <c r="AA192" s="8"/>
      <c r="AB192" s="8">
        <f t="shared" si="83"/>
        <v>0</v>
      </c>
      <c r="AC192" s="8">
        <f t="shared" si="84"/>
        <v>0</v>
      </c>
      <c r="AD192" s="8">
        <f t="shared" si="98"/>
        <v>0</v>
      </c>
      <c r="AE192" s="8">
        <f>IFERROR((AA192+AB192)*INDEX([1]Sheet1!$A$1:$A$13,MATCH((AA192+AB192),[1]Sheet1!$B$1:$B$13)),0)</f>
        <v>0</v>
      </c>
      <c r="AF192" s="6">
        <f t="shared" si="85"/>
        <v>0</v>
      </c>
      <c r="AG192" s="8"/>
      <c r="AH192" s="8">
        <f t="shared" si="86"/>
        <v>0</v>
      </c>
      <c r="AI192" s="8">
        <f t="shared" si="87"/>
        <v>0</v>
      </c>
      <c r="AJ192" s="8">
        <f t="shared" si="99"/>
        <v>0</v>
      </c>
      <c r="AK192" s="8">
        <f>IFERROR((AG192+AH192)*INDEX([1]Sheet1!$A$1:$A$13,MATCH((AG192+AH192),[1]Sheet1!$B$1:$B$13)),0)</f>
        <v>0</v>
      </c>
      <c r="AL192" s="6">
        <f t="shared" si="88"/>
        <v>0</v>
      </c>
      <c r="AM192" s="8"/>
      <c r="AN192" s="8">
        <f t="shared" si="89"/>
        <v>0</v>
      </c>
      <c r="AO192" s="8">
        <f t="shared" si="90"/>
        <v>0</v>
      </c>
      <c r="AP192" s="8">
        <f t="shared" si="37"/>
        <v>0</v>
      </c>
      <c r="AQ192" s="8">
        <f>IFERROR((AM192+AN192)*INDEX([1]Sheet1!$A$1:$A$13,MATCH((AM192+AN192),[1]Sheet1!$B$1:$B$13)),0)</f>
        <v>0</v>
      </c>
      <c r="AR192" s="6">
        <f t="shared" si="91"/>
        <v>0</v>
      </c>
      <c r="AS192" s="8"/>
      <c r="AT192" s="8">
        <f t="shared" si="92"/>
        <v>0</v>
      </c>
      <c r="AU192" s="8">
        <f t="shared" si="93"/>
        <v>0</v>
      </c>
      <c r="AV192" s="8">
        <f t="shared" si="38"/>
        <v>0</v>
      </c>
      <c r="AW192" s="8">
        <f>IFERROR((AS192+AT192)*INDEX([1]Sheet1!$A$1:$A$13,MATCH((AS192+AT192),[1]Sheet1!$B$1:$B$13)),0)</f>
        <v>0</v>
      </c>
      <c r="BC192" s="1" t="str">
        <f t="shared" si="94"/>
        <v/>
      </c>
    </row>
    <row r="193" spans="1:55" ht="18" customHeight="1" x14ac:dyDescent="0.2">
      <c r="A193" s="4"/>
      <c r="B193" s="6"/>
      <c r="C193" s="6"/>
      <c r="D193" s="6"/>
      <c r="E193" s="6"/>
      <c r="F193" s="4"/>
      <c r="G193" s="7"/>
      <c r="H193" s="6">
        <f t="shared" si="74"/>
        <v>0</v>
      </c>
      <c r="I193" s="8"/>
      <c r="J193" s="8"/>
      <c r="K193" s="8">
        <f t="shared" si="75"/>
        <v>0</v>
      </c>
      <c r="L193" s="8">
        <f t="shared" si="95"/>
        <v>0</v>
      </c>
      <c r="M193" s="8">
        <f>IFERROR((I193+J193)*INDEX([1]Sheet1!$A$1:$A$13,MATCH((I193+J193),[1]Sheet1!$B$1:$B$13)),0)</f>
        <v>0</v>
      </c>
      <c r="N193" s="6">
        <f t="shared" si="76"/>
        <v>0</v>
      </c>
      <c r="O193" s="8"/>
      <c r="P193" s="8">
        <f t="shared" si="77"/>
        <v>0</v>
      </c>
      <c r="Q193" s="8">
        <f t="shared" si="78"/>
        <v>0</v>
      </c>
      <c r="R193" s="8">
        <f t="shared" si="96"/>
        <v>0</v>
      </c>
      <c r="S193" s="8">
        <f>IFERROR((O193+P193)*INDEX([1]Sheet1!$A$1:$A$13,MATCH((O193+P193),[1]Sheet1!$B$1:$B$13)),0)</f>
        <v>0</v>
      </c>
      <c r="T193" s="6">
        <f t="shared" si="79"/>
        <v>0</v>
      </c>
      <c r="U193" s="8"/>
      <c r="V193" s="8">
        <f t="shared" si="80"/>
        <v>0</v>
      </c>
      <c r="W193" s="8">
        <f t="shared" si="81"/>
        <v>0</v>
      </c>
      <c r="X193" s="8">
        <f t="shared" si="97"/>
        <v>0</v>
      </c>
      <c r="Y193" s="8">
        <f>IFERROR((U193+V193)*INDEX([1]Sheet1!$A$1:$A$13,MATCH((U193+V193),[1]Sheet1!$B$1:$B$13)),0)</f>
        <v>0</v>
      </c>
      <c r="Z193" s="6">
        <f t="shared" si="82"/>
        <v>0</v>
      </c>
      <c r="AA193" s="8"/>
      <c r="AB193" s="8">
        <f t="shared" si="83"/>
        <v>0</v>
      </c>
      <c r="AC193" s="8">
        <f t="shared" si="84"/>
        <v>0</v>
      </c>
      <c r="AD193" s="8">
        <f t="shared" si="98"/>
        <v>0</v>
      </c>
      <c r="AE193" s="8">
        <f>IFERROR((AA193+AB193)*INDEX([1]Sheet1!$A$1:$A$13,MATCH((AA193+AB193),[1]Sheet1!$B$1:$B$13)),0)</f>
        <v>0</v>
      </c>
      <c r="AF193" s="6">
        <f t="shared" si="85"/>
        <v>0</v>
      </c>
      <c r="AG193" s="8"/>
      <c r="AH193" s="8">
        <f t="shared" si="86"/>
        <v>0</v>
      </c>
      <c r="AI193" s="8">
        <f t="shared" si="87"/>
        <v>0</v>
      </c>
      <c r="AJ193" s="8">
        <f t="shared" si="99"/>
        <v>0</v>
      </c>
      <c r="AK193" s="8">
        <f>IFERROR((AG193+AH193)*INDEX([1]Sheet1!$A$1:$A$13,MATCH((AG193+AH193),[1]Sheet1!$B$1:$B$13)),0)</f>
        <v>0</v>
      </c>
      <c r="AL193" s="6">
        <f t="shared" si="88"/>
        <v>0</v>
      </c>
      <c r="AM193" s="8"/>
      <c r="AN193" s="8">
        <f t="shared" si="89"/>
        <v>0</v>
      </c>
      <c r="AO193" s="8">
        <f t="shared" si="90"/>
        <v>0</v>
      </c>
      <c r="AP193" s="8">
        <f t="shared" si="37"/>
        <v>0</v>
      </c>
      <c r="AQ193" s="8">
        <f>IFERROR((AM193+AN193)*INDEX([1]Sheet1!$A$1:$A$13,MATCH((AM193+AN193),[1]Sheet1!$B$1:$B$13)),0)</f>
        <v>0</v>
      </c>
      <c r="AR193" s="6">
        <f t="shared" si="91"/>
        <v>0</v>
      </c>
      <c r="AS193" s="8"/>
      <c r="AT193" s="8">
        <f t="shared" si="92"/>
        <v>0</v>
      </c>
      <c r="AU193" s="8">
        <f t="shared" si="93"/>
        <v>0</v>
      </c>
      <c r="AV193" s="8">
        <f t="shared" si="38"/>
        <v>0</v>
      </c>
      <c r="AW193" s="8">
        <f>IFERROR((AS193+AT193)*INDEX([1]Sheet1!$A$1:$A$13,MATCH((AS193+AT193),[1]Sheet1!$B$1:$B$13)),0)</f>
        <v>0</v>
      </c>
      <c r="BC193" s="1" t="str">
        <f t="shared" si="94"/>
        <v/>
      </c>
    </row>
    <row r="194" spans="1:55" ht="18" customHeight="1" x14ac:dyDescent="0.2">
      <c r="A194" s="4"/>
      <c r="B194" s="6"/>
      <c r="C194" s="6"/>
      <c r="D194" s="6"/>
      <c r="E194" s="6"/>
      <c r="F194" s="4"/>
      <c r="G194" s="7"/>
      <c r="H194" s="6">
        <f t="shared" si="74"/>
        <v>0</v>
      </c>
      <c r="I194" s="8"/>
      <c r="J194" s="8"/>
      <c r="K194" s="8">
        <f t="shared" si="75"/>
        <v>0</v>
      </c>
      <c r="L194" s="8">
        <f t="shared" si="95"/>
        <v>0</v>
      </c>
      <c r="M194" s="8">
        <f>IFERROR((I194+J194)*INDEX([1]Sheet1!$A$1:$A$13,MATCH((I194+J194),[1]Sheet1!$B$1:$B$13)),0)</f>
        <v>0</v>
      </c>
      <c r="N194" s="6">
        <f t="shared" si="76"/>
        <v>0</v>
      </c>
      <c r="O194" s="8"/>
      <c r="P194" s="8">
        <f t="shared" si="77"/>
        <v>0</v>
      </c>
      <c r="Q194" s="8">
        <f t="shared" si="78"/>
        <v>0</v>
      </c>
      <c r="R194" s="8">
        <f t="shared" si="96"/>
        <v>0</v>
      </c>
      <c r="S194" s="8">
        <f>IFERROR((O194+P194)*INDEX([1]Sheet1!$A$1:$A$13,MATCH((O194+P194),[1]Sheet1!$B$1:$B$13)),0)</f>
        <v>0</v>
      </c>
      <c r="T194" s="6">
        <f t="shared" si="79"/>
        <v>0</v>
      </c>
      <c r="U194" s="8"/>
      <c r="V194" s="8">
        <f t="shared" si="80"/>
        <v>0</v>
      </c>
      <c r="W194" s="8">
        <f t="shared" si="81"/>
        <v>0</v>
      </c>
      <c r="X194" s="8">
        <f t="shared" si="97"/>
        <v>0</v>
      </c>
      <c r="Y194" s="8">
        <f>IFERROR((U194+V194)*INDEX([1]Sheet1!$A$1:$A$13,MATCH((U194+V194),[1]Sheet1!$B$1:$B$13)),0)</f>
        <v>0</v>
      </c>
      <c r="Z194" s="6">
        <f t="shared" si="82"/>
        <v>0</v>
      </c>
      <c r="AA194" s="8"/>
      <c r="AB194" s="8">
        <f t="shared" si="83"/>
        <v>0</v>
      </c>
      <c r="AC194" s="8">
        <f t="shared" si="84"/>
        <v>0</v>
      </c>
      <c r="AD194" s="8">
        <f t="shared" si="98"/>
        <v>0</v>
      </c>
      <c r="AE194" s="8">
        <f>IFERROR((AA194+AB194)*INDEX([1]Sheet1!$A$1:$A$13,MATCH((AA194+AB194),[1]Sheet1!$B$1:$B$13)),0)</f>
        <v>0</v>
      </c>
      <c r="AF194" s="6">
        <f t="shared" si="85"/>
        <v>0</v>
      </c>
      <c r="AG194" s="8"/>
      <c r="AH194" s="8">
        <f t="shared" si="86"/>
        <v>0</v>
      </c>
      <c r="AI194" s="8">
        <f t="shared" si="87"/>
        <v>0</v>
      </c>
      <c r="AJ194" s="8">
        <f t="shared" si="99"/>
        <v>0</v>
      </c>
      <c r="AK194" s="8">
        <f>IFERROR((AG194+AH194)*INDEX([1]Sheet1!$A$1:$A$13,MATCH((AG194+AH194),[1]Sheet1!$B$1:$B$13)),0)</f>
        <v>0</v>
      </c>
      <c r="AL194" s="6">
        <f t="shared" si="88"/>
        <v>0</v>
      </c>
      <c r="AM194" s="8"/>
      <c r="AN194" s="8">
        <f t="shared" si="89"/>
        <v>0</v>
      </c>
      <c r="AO194" s="8">
        <f t="shared" si="90"/>
        <v>0</v>
      </c>
      <c r="AP194" s="8">
        <f t="shared" si="37"/>
        <v>0</v>
      </c>
      <c r="AQ194" s="8">
        <f>IFERROR((AM194+AN194)*INDEX([1]Sheet1!$A$1:$A$13,MATCH((AM194+AN194),[1]Sheet1!$B$1:$B$13)),0)</f>
        <v>0</v>
      </c>
      <c r="AR194" s="6">
        <f t="shared" si="91"/>
        <v>0</v>
      </c>
      <c r="AS194" s="8"/>
      <c r="AT194" s="8">
        <f t="shared" si="92"/>
        <v>0</v>
      </c>
      <c r="AU194" s="8">
        <f t="shared" si="93"/>
        <v>0</v>
      </c>
      <c r="AV194" s="8">
        <f t="shared" si="38"/>
        <v>0</v>
      </c>
      <c r="AW194" s="8">
        <f>IFERROR((AS194+AT194)*INDEX([1]Sheet1!$A$1:$A$13,MATCH((AS194+AT194),[1]Sheet1!$B$1:$B$13)),0)</f>
        <v>0</v>
      </c>
      <c r="BC194" s="1" t="str">
        <f t="shared" si="94"/>
        <v/>
      </c>
    </row>
    <row r="195" spans="1:55" ht="18" customHeight="1" x14ac:dyDescent="0.2">
      <c r="A195" s="4"/>
      <c r="B195" s="9"/>
      <c r="C195" s="6"/>
      <c r="D195" s="6"/>
      <c r="E195" s="6"/>
      <c r="F195" s="4"/>
      <c r="G195" s="7"/>
      <c r="H195" s="6">
        <f t="shared" si="74"/>
        <v>0</v>
      </c>
      <c r="I195" s="8"/>
      <c r="J195" s="8"/>
      <c r="K195" s="8">
        <f t="shared" si="75"/>
        <v>0</v>
      </c>
      <c r="L195" s="8">
        <f t="shared" si="95"/>
        <v>0</v>
      </c>
      <c r="M195" s="8">
        <f>IFERROR((I195+J195)*INDEX([1]Sheet1!$A$1:$A$13,MATCH((I195+J195),[1]Sheet1!$B$1:$B$13)),0)</f>
        <v>0</v>
      </c>
      <c r="N195" s="6">
        <f t="shared" si="76"/>
        <v>0</v>
      </c>
      <c r="O195" s="8"/>
      <c r="P195" s="8">
        <f t="shared" si="77"/>
        <v>0</v>
      </c>
      <c r="Q195" s="8">
        <f t="shared" si="78"/>
        <v>0</v>
      </c>
      <c r="R195" s="8">
        <f t="shared" si="96"/>
        <v>0</v>
      </c>
      <c r="S195" s="8">
        <f>IFERROR((O195+P195)*INDEX([1]Sheet1!$A$1:$A$13,MATCH((O195+P195),[1]Sheet1!$B$1:$B$13)),0)</f>
        <v>0</v>
      </c>
      <c r="T195" s="6">
        <f t="shared" si="79"/>
        <v>0</v>
      </c>
      <c r="U195" s="8"/>
      <c r="V195" s="8">
        <f t="shared" si="80"/>
        <v>0</v>
      </c>
      <c r="W195" s="8">
        <f t="shared" si="81"/>
        <v>0</v>
      </c>
      <c r="X195" s="8">
        <f t="shared" si="97"/>
        <v>0</v>
      </c>
      <c r="Y195" s="8">
        <f>IFERROR((U195+V195)*INDEX([1]Sheet1!$A$1:$A$13,MATCH((U195+V195),[1]Sheet1!$B$1:$B$13)),0)</f>
        <v>0</v>
      </c>
      <c r="Z195" s="6">
        <f t="shared" si="82"/>
        <v>0</v>
      </c>
      <c r="AA195" s="8"/>
      <c r="AB195" s="8">
        <f t="shared" si="83"/>
        <v>0</v>
      </c>
      <c r="AC195" s="8">
        <f t="shared" si="84"/>
        <v>0</v>
      </c>
      <c r="AD195" s="8">
        <f t="shared" si="98"/>
        <v>0</v>
      </c>
      <c r="AE195" s="8">
        <f>IFERROR((AA195+AB195)*INDEX([1]Sheet1!$A$1:$A$13,MATCH((AA195+AB195),[1]Sheet1!$B$1:$B$13)),0)</f>
        <v>0</v>
      </c>
      <c r="AF195" s="6">
        <f t="shared" si="85"/>
        <v>0</v>
      </c>
      <c r="AG195" s="8"/>
      <c r="AH195" s="8">
        <f t="shared" si="86"/>
        <v>0</v>
      </c>
      <c r="AI195" s="8">
        <f t="shared" si="87"/>
        <v>0</v>
      </c>
      <c r="AJ195" s="8">
        <f t="shared" si="99"/>
        <v>0</v>
      </c>
      <c r="AK195" s="8">
        <f>IFERROR((AG195+AH195)*INDEX([1]Sheet1!$A$1:$A$13,MATCH((AG195+AH195),[1]Sheet1!$B$1:$B$13)),0)</f>
        <v>0</v>
      </c>
      <c r="AL195" s="6">
        <f t="shared" si="88"/>
        <v>0</v>
      </c>
      <c r="AM195" s="8"/>
      <c r="AN195" s="8">
        <f t="shared" si="89"/>
        <v>0</v>
      </c>
      <c r="AO195" s="8">
        <f t="shared" si="90"/>
        <v>0</v>
      </c>
      <c r="AP195" s="8">
        <f t="shared" ref="AP195:AP220" si="100">IF(AO195&gt;0,IF(AO195*$AL$23&lt;2.5,2.5/$AL$23,AO195),0)</f>
        <v>0</v>
      </c>
      <c r="AQ195" s="8">
        <f>IFERROR((AM195+AN195)*INDEX([1]Sheet1!$A$1:$A$13,MATCH((AM195+AN195),[1]Sheet1!$B$1:$B$13)),0)</f>
        <v>0</v>
      </c>
      <c r="AR195" s="6">
        <f t="shared" si="91"/>
        <v>0</v>
      </c>
      <c r="AS195" s="8"/>
      <c r="AT195" s="8">
        <f t="shared" si="92"/>
        <v>0</v>
      </c>
      <c r="AU195" s="8">
        <f t="shared" si="93"/>
        <v>0</v>
      </c>
      <c r="AV195" s="8">
        <f t="shared" ref="AV195:AV220" si="101">IF(AU195&gt;0,IF(AU195*$AR$23&lt;2.5,2.5/$AR$23,AU195),0)</f>
        <v>0</v>
      </c>
      <c r="AW195" s="8">
        <f>IFERROR((AS195+AT195)*INDEX([1]Sheet1!$A$1:$A$13,MATCH((AS195+AT195),[1]Sheet1!$B$1:$B$13)),0)</f>
        <v>0</v>
      </c>
      <c r="BC195" s="1" t="str">
        <f t="shared" si="94"/>
        <v/>
      </c>
    </row>
    <row r="196" spans="1:55" ht="18" customHeight="1" x14ac:dyDescent="0.2">
      <c r="A196" s="4"/>
      <c r="B196" s="6"/>
      <c r="C196" s="6"/>
      <c r="D196" s="6"/>
      <c r="E196" s="6"/>
      <c r="F196" s="4"/>
      <c r="G196" s="7"/>
      <c r="H196" s="6">
        <f t="shared" si="74"/>
        <v>0</v>
      </c>
      <c r="I196" s="8"/>
      <c r="J196" s="8"/>
      <c r="K196" s="8">
        <f t="shared" si="75"/>
        <v>0</v>
      </c>
      <c r="L196" s="8">
        <f t="shared" si="95"/>
        <v>0</v>
      </c>
      <c r="M196" s="8">
        <f>IFERROR((I196+J196)*INDEX([1]Sheet1!$A$1:$A$13,MATCH((I196+J196),[1]Sheet1!$B$1:$B$13)),0)</f>
        <v>0</v>
      </c>
      <c r="N196" s="6">
        <f t="shared" si="76"/>
        <v>0</v>
      </c>
      <c r="O196" s="8"/>
      <c r="P196" s="8">
        <f t="shared" si="77"/>
        <v>0</v>
      </c>
      <c r="Q196" s="8">
        <f t="shared" si="78"/>
        <v>0</v>
      </c>
      <c r="R196" s="8">
        <f t="shared" si="96"/>
        <v>0</v>
      </c>
      <c r="S196" s="8">
        <f>IFERROR((O196+P196)*INDEX([1]Sheet1!$A$1:$A$13,MATCH((O196+P196),[1]Sheet1!$B$1:$B$13)),0)</f>
        <v>0</v>
      </c>
      <c r="T196" s="6">
        <f t="shared" si="79"/>
        <v>0</v>
      </c>
      <c r="U196" s="8"/>
      <c r="V196" s="8">
        <f t="shared" si="80"/>
        <v>0</v>
      </c>
      <c r="W196" s="8">
        <f t="shared" si="81"/>
        <v>0</v>
      </c>
      <c r="X196" s="8">
        <f t="shared" si="97"/>
        <v>0</v>
      </c>
      <c r="Y196" s="8">
        <f>IFERROR((U196+V196)*INDEX([1]Sheet1!$A$1:$A$13,MATCH((U196+V196),[1]Sheet1!$B$1:$B$13)),0)</f>
        <v>0</v>
      </c>
      <c r="Z196" s="6">
        <f t="shared" si="82"/>
        <v>0</v>
      </c>
      <c r="AA196" s="8"/>
      <c r="AB196" s="8">
        <f t="shared" si="83"/>
        <v>0</v>
      </c>
      <c r="AC196" s="8">
        <f t="shared" si="84"/>
        <v>0</v>
      </c>
      <c r="AD196" s="8">
        <f t="shared" si="98"/>
        <v>0</v>
      </c>
      <c r="AE196" s="8">
        <f>IFERROR((AA196+AB196)*INDEX([1]Sheet1!$A$1:$A$13,MATCH((AA196+AB196),[1]Sheet1!$B$1:$B$13)),0)</f>
        <v>0</v>
      </c>
      <c r="AF196" s="6">
        <f t="shared" si="85"/>
        <v>0</v>
      </c>
      <c r="AG196" s="8"/>
      <c r="AH196" s="8">
        <f t="shared" si="86"/>
        <v>0</v>
      </c>
      <c r="AI196" s="8">
        <f t="shared" si="87"/>
        <v>0</v>
      </c>
      <c r="AJ196" s="8">
        <f t="shared" si="99"/>
        <v>0</v>
      </c>
      <c r="AK196" s="8">
        <f>IFERROR((AG196+AH196)*INDEX([1]Sheet1!$A$1:$A$13,MATCH((AG196+AH196),[1]Sheet1!$B$1:$B$13)),0)</f>
        <v>0</v>
      </c>
      <c r="AL196" s="6">
        <f t="shared" si="88"/>
        <v>0</v>
      </c>
      <c r="AM196" s="8"/>
      <c r="AN196" s="8">
        <f t="shared" si="89"/>
        <v>0</v>
      </c>
      <c r="AO196" s="8">
        <f t="shared" si="90"/>
        <v>0</v>
      </c>
      <c r="AP196" s="8">
        <f t="shared" si="100"/>
        <v>0</v>
      </c>
      <c r="AQ196" s="8">
        <f>IFERROR((AM196+AN196)*INDEX([1]Sheet1!$A$1:$A$13,MATCH((AM196+AN196),[1]Sheet1!$B$1:$B$13)),0)</f>
        <v>0</v>
      </c>
      <c r="AR196" s="6">
        <f t="shared" si="91"/>
        <v>0</v>
      </c>
      <c r="AS196" s="8"/>
      <c r="AT196" s="8">
        <f t="shared" si="92"/>
        <v>0</v>
      </c>
      <c r="AU196" s="8">
        <f t="shared" si="93"/>
        <v>0</v>
      </c>
      <c r="AV196" s="8">
        <f t="shared" si="101"/>
        <v>0</v>
      </c>
      <c r="AW196" s="8">
        <f>IFERROR((AS196+AT196)*INDEX([1]Sheet1!$A$1:$A$13,MATCH((AS196+AT196),[1]Sheet1!$B$1:$B$13)),0)</f>
        <v>0</v>
      </c>
      <c r="BC196" s="1" t="str">
        <f t="shared" si="94"/>
        <v/>
      </c>
    </row>
    <row r="197" spans="1:55" ht="18" customHeight="1" x14ac:dyDescent="0.2">
      <c r="A197" s="4"/>
      <c r="B197" s="9"/>
      <c r="C197" s="6"/>
      <c r="D197" s="6"/>
      <c r="E197" s="6"/>
      <c r="F197" s="4"/>
      <c r="G197" s="7"/>
      <c r="H197" s="6">
        <f t="shared" si="74"/>
        <v>0</v>
      </c>
      <c r="I197" s="8"/>
      <c r="J197" s="8"/>
      <c r="K197" s="8">
        <f t="shared" si="75"/>
        <v>0</v>
      </c>
      <c r="L197" s="8">
        <f t="shared" si="95"/>
        <v>0</v>
      </c>
      <c r="M197" s="8">
        <f>IFERROR((I197+J197)*INDEX([1]Sheet1!$A$1:$A$13,MATCH((I197+J197),[1]Sheet1!$B$1:$B$13)),0)</f>
        <v>0</v>
      </c>
      <c r="N197" s="6">
        <f t="shared" si="76"/>
        <v>0</v>
      </c>
      <c r="O197" s="8"/>
      <c r="P197" s="8">
        <f t="shared" si="77"/>
        <v>0</v>
      </c>
      <c r="Q197" s="8">
        <f t="shared" si="78"/>
        <v>0</v>
      </c>
      <c r="R197" s="8">
        <f t="shared" si="96"/>
        <v>0</v>
      </c>
      <c r="S197" s="8">
        <f>IFERROR((O197+P197)*INDEX([1]Sheet1!$A$1:$A$13,MATCH((O197+P197),[1]Sheet1!$B$1:$B$13)),0)</f>
        <v>0</v>
      </c>
      <c r="T197" s="6">
        <f t="shared" si="79"/>
        <v>0</v>
      </c>
      <c r="U197" s="8"/>
      <c r="V197" s="8">
        <f t="shared" si="80"/>
        <v>0</v>
      </c>
      <c r="W197" s="8">
        <f t="shared" si="81"/>
        <v>0</v>
      </c>
      <c r="X197" s="8">
        <f t="shared" si="97"/>
        <v>0</v>
      </c>
      <c r="Y197" s="8">
        <f>IFERROR((U197+V197)*INDEX([1]Sheet1!$A$1:$A$13,MATCH((U197+V197),[1]Sheet1!$B$1:$B$13)),0)</f>
        <v>0</v>
      </c>
      <c r="Z197" s="6">
        <f t="shared" si="82"/>
        <v>0</v>
      </c>
      <c r="AA197" s="8"/>
      <c r="AB197" s="8">
        <f t="shared" si="83"/>
        <v>0</v>
      </c>
      <c r="AC197" s="8">
        <f t="shared" si="84"/>
        <v>0</v>
      </c>
      <c r="AD197" s="8">
        <f t="shared" si="98"/>
        <v>0</v>
      </c>
      <c r="AE197" s="8">
        <f>IFERROR((AA197+AB197)*INDEX([1]Sheet1!$A$1:$A$13,MATCH((AA197+AB197),[1]Sheet1!$B$1:$B$13)),0)</f>
        <v>0</v>
      </c>
      <c r="AF197" s="6">
        <f t="shared" si="85"/>
        <v>0</v>
      </c>
      <c r="AG197" s="8"/>
      <c r="AH197" s="8">
        <f t="shared" si="86"/>
        <v>0</v>
      </c>
      <c r="AI197" s="8">
        <f t="shared" si="87"/>
        <v>0</v>
      </c>
      <c r="AJ197" s="8">
        <f t="shared" si="99"/>
        <v>0</v>
      </c>
      <c r="AK197" s="8">
        <f>IFERROR((AG197+AH197)*INDEX([1]Sheet1!$A$1:$A$13,MATCH((AG197+AH197),[1]Sheet1!$B$1:$B$13)),0)</f>
        <v>0</v>
      </c>
      <c r="AL197" s="6">
        <f t="shared" si="88"/>
        <v>0</v>
      </c>
      <c r="AM197" s="8"/>
      <c r="AN197" s="8">
        <f t="shared" si="89"/>
        <v>0</v>
      </c>
      <c r="AO197" s="8">
        <f t="shared" si="90"/>
        <v>0</v>
      </c>
      <c r="AP197" s="8">
        <f t="shared" si="100"/>
        <v>0</v>
      </c>
      <c r="AQ197" s="8">
        <f>IFERROR((AM197+AN197)*INDEX([1]Sheet1!$A$1:$A$13,MATCH((AM197+AN197),[1]Sheet1!$B$1:$B$13)),0)</f>
        <v>0</v>
      </c>
      <c r="AR197" s="6">
        <f t="shared" si="91"/>
        <v>0</v>
      </c>
      <c r="AS197" s="8"/>
      <c r="AT197" s="8">
        <f t="shared" si="92"/>
        <v>0</v>
      </c>
      <c r="AU197" s="8">
        <f t="shared" si="93"/>
        <v>0</v>
      </c>
      <c r="AV197" s="8">
        <f t="shared" si="101"/>
        <v>0</v>
      </c>
      <c r="AW197" s="8">
        <f>IFERROR((AS197+AT197)*INDEX([1]Sheet1!$A$1:$A$13,MATCH((AS197+AT197),[1]Sheet1!$B$1:$B$13)),0)</f>
        <v>0</v>
      </c>
      <c r="BC197" s="1" t="str">
        <f t="shared" si="94"/>
        <v/>
      </c>
    </row>
    <row r="198" spans="1:55" ht="18" customHeight="1" x14ac:dyDescent="0.2">
      <c r="A198" s="4"/>
      <c r="B198" s="6"/>
      <c r="C198" s="6"/>
      <c r="D198" s="6"/>
      <c r="E198" s="6"/>
      <c r="F198" s="4"/>
      <c r="G198" s="7"/>
      <c r="H198" s="6">
        <f t="shared" si="74"/>
        <v>0</v>
      </c>
      <c r="I198" s="8"/>
      <c r="J198" s="8"/>
      <c r="K198" s="8">
        <f t="shared" si="75"/>
        <v>0</v>
      </c>
      <c r="L198" s="8">
        <f t="shared" si="95"/>
        <v>0</v>
      </c>
      <c r="M198" s="8">
        <f>IFERROR((I198+J198)*INDEX([1]Sheet1!$A$1:$A$13,MATCH((I198+J198),[1]Sheet1!$B$1:$B$13)),0)</f>
        <v>0</v>
      </c>
      <c r="N198" s="6">
        <f t="shared" si="76"/>
        <v>0</v>
      </c>
      <c r="O198" s="8"/>
      <c r="P198" s="8">
        <f t="shared" si="77"/>
        <v>0</v>
      </c>
      <c r="Q198" s="8">
        <f t="shared" si="78"/>
        <v>0</v>
      </c>
      <c r="R198" s="8">
        <f t="shared" si="96"/>
        <v>0</v>
      </c>
      <c r="S198" s="8">
        <f>IFERROR((O198+P198)*INDEX([1]Sheet1!$A$1:$A$13,MATCH((O198+P198),[1]Sheet1!$B$1:$B$13)),0)</f>
        <v>0</v>
      </c>
      <c r="T198" s="6">
        <f t="shared" si="79"/>
        <v>0</v>
      </c>
      <c r="U198" s="8"/>
      <c r="V198" s="8">
        <f t="shared" si="80"/>
        <v>0</v>
      </c>
      <c r="W198" s="8">
        <f t="shared" si="81"/>
        <v>0</v>
      </c>
      <c r="X198" s="8">
        <f t="shared" si="97"/>
        <v>0</v>
      </c>
      <c r="Y198" s="8">
        <f>IFERROR((U198+V198)*INDEX([1]Sheet1!$A$1:$A$13,MATCH((U198+V198),[1]Sheet1!$B$1:$B$13)),0)</f>
        <v>0</v>
      </c>
      <c r="Z198" s="6">
        <f t="shared" si="82"/>
        <v>0</v>
      </c>
      <c r="AA198" s="8"/>
      <c r="AB198" s="8">
        <f t="shared" si="83"/>
        <v>0</v>
      </c>
      <c r="AC198" s="8">
        <f t="shared" si="84"/>
        <v>0</v>
      </c>
      <c r="AD198" s="8">
        <f t="shared" si="98"/>
        <v>0</v>
      </c>
      <c r="AE198" s="8">
        <f>IFERROR((AA198+AB198)*INDEX([1]Sheet1!$A$1:$A$13,MATCH((AA198+AB198),[1]Sheet1!$B$1:$B$13)),0)</f>
        <v>0</v>
      </c>
      <c r="AF198" s="6">
        <f t="shared" si="85"/>
        <v>0</v>
      </c>
      <c r="AG198" s="8"/>
      <c r="AH198" s="8">
        <f t="shared" si="86"/>
        <v>0</v>
      </c>
      <c r="AI198" s="8">
        <f t="shared" si="87"/>
        <v>0</v>
      </c>
      <c r="AJ198" s="8">
        <f t="shared" si="99"/>
        <v>0</v>
      </c>
      <c r="AK198" s="8">
        <f>IFERROR((AG198+AH198)*INDEX([1]Sheet1!$A$1:$A$13,MATCH((AG198+AH198),[1]Sheet1!$B$1:$B$13)),0)</f>
        <v>0</v>
      </c>
      <c r="AL198" s="6">
        <f t="shared" si="88"/>
        <v>0</v>
      </c>
      <c r="AM198" s="8"/>
      <c r="AN198" s="8">
        <f t="shared" si="89"/>
        <v>0</v>
      </c>
      <c r="AO198" s="8">
        <f t="shared" si="90"/>
        <v>0</v>
      </c>
      <c r="AP198" s="8">
        <f t="shared" si="100"/>
        <v>0</v>
      </c>
      <c r="AQ198" s="8">
        <f>IFERROR((AM198+AN198)*INDEX([1]Sheet1!$A$1:$A$13,MATCH((AM198+AN198),[1]Sheet1!$B$1:$B$13)),0)</f>
        <v>0</v>
      </c>
      <c r="AR198" s="6">
        <f t="shared" si="91"/>
        <v>0</v>
      </c>
      <c r="AS198" s="8"/>
      <c r="AT198" s="8">
        <f t="shared" si="92"/>
        <v>0</v>
      </c>
      <c r="AU198" s="8">
        <f t="shared" si="93"/>
        <v>0</v>
      </c>
      <c r="AV198" s="8">
        <f t="shared" si="101"/>
        <v>0</v>
      </c>
      <c r="AW198" s="8">
        <f>IFERROR((AS198+AT198)*INDEX([1]Sheet1!$A$1:$A$13,MATCH((AS198+AT198),[1]Sheet1!$B$1:$B$13)),0)</f>
        <v>0</v>
      </c>
      <c r="BC198" s="1" t="str">
        <f t="shared" si="94"/>
        <v/>
      </c>
    </row>
    <row r="199" spans="1:55" ht="18" customHeight="1" x14ac:dyDescent="0.2">
      <c r="A199" s="4"/>
      <c r="B199" s="6"/>
      <c r="C199" s="6"/>
      <c r="D199" s="6"/>
      <c r="E199" s="6"/>
      <c r="F199" s="4"/>
      <c r="G199" s="7"/>
      <c r="H199" s="6">
        <f t="shared" si="74"/>
        <v>0</v>
      </c>
      <c r="I199" s="8"/>
      <c r="J199" s="8"/>
      <c r="K199" s="8">
        <f t="shared" si="75"/>
        <v>0</v>
      </c>
      <c r="L199" s="8">
        <f t="shared" si="95"/>
        <v>0</v>
      </c>
      <c r="M199" s="8">
        <f>IFERROR((I199+J199)*INDEX([1]Sheet1!$A$1:$A$13,MATCH((I199+J199),[1]Sheet1!$B$1:$B$13)),0)</f>
        <v>0</v>
      </c>
      <c r="N199" s="6">
        <f t="shared" si="76"/>
        <v>0</v>
      </c>
      <c r="O199" s="8"/>
      <c r="P199" s="8">
        <f t="shared" si="77"/>
        <v>0</v>
      </c>
      <c r="Q199" s="8">
        <f t="shared" si="78"/>
        <v>0</v>
      </c>
      <c r="R199" s="8">
        <f t="shared" si="96"/>
        <v>0</v>
      </c>
      <c r="S199" s="8">
        <f>IFERROR((O199+P199)*INDEX([1]Sheet1!$A$1:$A$13,MATCH((O199+P199),[1]Sheet1!$B$1:$B$13)),0)</f>
        <v>0</v>
      </c>
      <c r="T199" s="6">
        <f t="shared" si="79"/>
        <v>0</v>
      </c>
      <c r="U199" s="8"/>
      <c r="V199" s="8">
        <f t="shared" si="80"/>
        <v>0</v>
      </c>
      <c r="W199" s="8">
        <f t="shared" si="81"/>
        <v>0</v>
      </c>
      <c r="X199" s="8">
        <f t="shared" si="97"/>
        <v>0</v>
      </c>
      <c r="Y199" s="8">
        <f>IFERROR((U199+V199)*INDEX([1]Sheet1!$A$1:$A$13,MATCH((U199+V199),[1]Sheet1!$B$1:$B$13)),0)</f>
        <v>0</v>
      </c>
      <c r="Z199" s="6">
        <f t="shared" si="82"/>
        <v>0</v>
      </c>
      <c r="AA199" s="8"/>
      <c r="AB199" s="8">
        <f t="shared" si="83"/>
        <v>0</v>
      </c>
      <c r="AC199" s="8">
        <f t="shared" si="84"/>
        <v>0</v>
      </c>
      <c r="AD199" s="8">
        <f t="shared" si="98"/>
        <v>0</v>
      </c>
      <c r="AE199" s="8">
        <f>IFERROR((AA199+AB199)*INDEX([1]Sheet1!$A$1:$A$13,MATCH((AA199+AB199),[1]Sheet1!$B$1:$B$13)),0)</f>
        <v>0</v>
      </c>
      <c r="AF199" s="6">
        <f t="shared" si="85"/>
        <v>0</v>
      </c>
      <c r="AG199" s="8"/>
      <c r="AH199" s="8">
        <f t="shared" si="86"/>
        <v>0</v>
      </c>
      <c r="AI199" s="8">
        <f t="shared" si="87"/>
        <v>0</v>
      </c>
      <c r="AJ199" s="8">
        <f t="shared" si="99"/>
        <v>0</v>
      </c>
      <c r="AK199" s="8">
        <f>IFERROR((AG199+AH199)*INDEX([1]Sheet1!$A$1:$A$13,MATCH((AG199+AH199),[1]Sheet1!$B$1:$B$13)),0)</f>
        <v>0</v>
      </c>
      <c r="AL199" s="6">
        <f t="shared" si="88"/>
        <v>0</v>
      </c>
      <c r="AM199" s="8"/>
      <c r="AN199" s="8">
        <f t="shared" si="89"/>
        <v>0</v>
      </c>
      <c r="AO199" s="8">
        <f t="shared" si="90"/>
        <v>0</v>
      </c>
      <c r="AP199" s="8">
        <f t="shared" si="100"/>
        <v>0</v>
      </c>
      <c r="AQ199" s="8">
        <f>IFERROR((AM199+AN199)*INDEX([1]Sheet1!$A$1:$A$13,MATCH((AM199+AN199),[1]Sheet1!$B$1:$B$13)),0)</f>
        <v>0</v>
      </c>
      <c r="AR199" s="6">
        <f t="shared" si="91"/>
        <v>0</v>
      </c>
      <c r="AS199" s="8"/>
      <c r="AT199" s="8">
        <f t="shared" si="92"/>
        <v>0</v>
      </c>
      <c r="AU199" s="8">
        <f t="shared" si="93"/>
        <v>0</v>
      </c>
      <c r="AV199" s="8">
        <f t="shared" si="101"/>
        <v>0</v>
      </c>
      <c r="AW199" s="8">
        <f>IFERROR((AS199+AT199)*INDEX([1]Sheet1!$A$1:$A$13,MATCH((AS199+AT199),[1]Sheet1!$B$1:$B$13)),0)</f>
        <v>0</v>
      </c>
      <c r="BC199" s="1" t="str">
        <f t="shared" si="94"/>
        <v/>
      </c>
    </row>
    <row r="200" spans="1:55" ht="18" customHeight="1" x14ac:dyDescent="0.2">
      <c r="A200" s="4"/>
      <c r="B200" s="5"/>
      <c r="C200" s="6"/>
      <c r="D200" s="6"/>
      <c r="E200" s="6"/>
      <c r="F200" s="4"/>
      <c r="G200" s="7"/>
      <c r="H200" s="6">
        <f t="shared" si="74"/>
        <v>0</v>
      </c>
      <c r="I200" s="8"/>
      <c r="J200" s="8"/>
      <c r="K200" s="8">
        <f t="shared" si="75"/>
        <v>0</v>
      </c>
      <c r="L200" s="8">
        <f t="shared" si="36"/>
        <v>0</v>
      </c>
      <c r="M200" s="8">
        <f>IFERROR((I200+J200)*INDEX([1]Sheet1!$A$1:$A$13,MATCH((I200+J200),[1]Sheet1!$B$1:$B$13)),0)</f>
        <v>0</v>
      </c>
      <c r="N200" s="6">
        <f t="shared" si="76"/>
        <v>0</v>
      </c>
      <c r="O200" s="8"/>
      <c r="P200" s="8">
        <f t="shared" si="77"/>
        <v>0</v>
      </c>
      <c r="Q200" s="8">
        <f t="shared" si="78"/>
        <v>0</v>
      </c>
      <c r="R200" s="8">
        <f t="shared" si="16"/>
        <v>0</v>
      </c>
      <c r="S200" s="8">
        <f>IFERROR((O200+P200)*INDEX([1]Sheet1!$A$1:$A$13,MATCH((O200+P200),[1]Sheet1!$B$1:$B$13)),0)</f>
        <v>0</v>
      </c>
      <c r="T200" s="6">
        <f t="shared" si="79"/>
        <v>0</v>
      </c>
      <c r="U200" s="8"/>
      <c r="V200" s="8">
        <f t="shared" si="80"/>
        <v>0</v>
      </c>
      <c r="W200" s="8">
        <f t="shared" si="81"/>
        <v>0</v>
      </c>
      <c r="X200" s="8">
        <f t="shared" si="20"/>
        <v>0</v>
      </c>
      <c r="Y200" s="8">
        <f>IFERROR((U200+V200)*INDEX([1]Sheet1!$A$1:$A$13,MATCH((U200+V200),[1]Sheet1!$B$1:$B$13)),0)</f>
        <v>0</v>
      </c>
      <c r="Z200" s="6">
        <f t="shared" si="82"/>
        <v>0</v>
      </c>
      <c r="AA200" s="8"/>
      <c r="AB200" s="8">
        <f t="shared" si="83"/>
        <v>0</v>
      </c>
      <c r="AC200" s="8">
        <f t="shared" si="84"/>
        <v>0</v>
      </c>
      <c r="AD200" s="8">
        <f t="shared" si="24"/>
        <v>0</v>
      </c>
      <c r="AE200" s="8">
        <f>IFERROR((AA200+AB200)*INDEX([1]Sheet1!$A$1:$A$13,MATCH((AA200+AB200),[1]Sheet1!$B$1:$B$13)),0)</f>
        <v>0</v>
      </c>
      <c r="AF200" s="6">
        <f t="shared" si="85"/>
        <v>0</v>
      </c>
      <c r="AG200" s="8"/>
      <c r="AH200" s="8">
        <f t="shared" si="86"/>
        <v>0</v>
      </c>
      <c r="AI200" s="8">
        <f t="shared" si="87"/>
        <v>0</v>
      </c>
      <c r="AJ200" s="8">
        <f t="shared" si="28"/>
        <v>0</v>
      </c>
      <c r="AK200" s="8">
        <f>IFERROR((AG200+AH200)*INDEX([1]Sheet1!$A$1:$A$13,MATCH((AG200+AH200),[1]Sheet1!$B$1:$B$13)),0)</f>
        <v>0</v>
      </c>
      <c r="AL200" s="6">
        <f t="shared" si="88"/>
        <v>0</v>
      </c>
      <c r="AM200" s="8"/>
      <c r="AN200" s="8">
        <f t="shared" si="89"/>
        <v>0</v>
      </c>
      <c r="AO200" s="8">
        <f t="shared" si="90"/>
        <v>0</v>
      </c>
      <c r="AP200" s="8">
        <f t="shared" si="100"/>
        <v>0</v>
      </c>
      <c r="AQ200" s="8">
        <f>IFERROR((AM200+AN200)*INDEX([1]Sheet1!$A$1:$A$13,MATCH((AM200+AN200),[1]Sheet1!$B$1:$B$13)),0)</f>
        <v>0</v>
      </c>
      <c r="AR200" s="6">
        <f t="shared" si="91"/>
        <v>0</v>
      </c>
      <c r="AS200" s="8"/>
      <c r="AT200" s="8">
        <f t="shared" si="92"/>
        <v>0</v>
      </c>
      <c r="AU200" s="8">
        <f t="shared" si="93"/>
        <v>0</v>
      </c>
      <c r="AV200" s="8">
        <f t="shared" si="101"/>
        <v>0</v>
      </c>
      <c r="AW200" s="8">
        <f>IFERROR((AS200+AT200)*INDEX([1]Sheet1!$A$1:$A$13,MATCH((AS200+AT200),[1]Sheet1!$B$1:$B$13)),0)</f>
        <v>0</v>
      </c>
      <c r="BC200" s="1" t="str">
        <f t="shared" si="94"/>
        <v/>
      </c>
    </row>
    <row r="201" spans="1:55" ht="18" customHeight="1" x14ac:dyDescent="0.2">
      <c r="A201" s="4"/>
      <c r="B201" s="5"/>
      <c r="C201" s="6"/>
      <c r="D201" s="6"/>
      <c r="E201" s="6"/>
      <c r="F201" s="4"/>
      <c r="G201" s="7"/>
      <c r="H201" s="6">
        <f t="shared" si="74"/>
        <v>0</v>
      </c>
      <c r="I201" s="8"/>
      <c r="J201" s="8"/>
      <c r="K201" s="8">
        <f t="shared" si="75"/>
        <v>0</v>
      </c>
      <c r="L201" s="8">
        <f t="shared" si="36"/>
        <v>0</v>
      </c>
      <c r="M201" s="8">
        <f>IFERROR((I201+J201)*INDEX([1]Sheet1!$A$1:$A$13,MATCH((I201+J201),[1]Sheet1!$B$1:$B$13)),0)</f>
        <v>0</v>
      </c>
      <c r="N201" s="6">
        <f t="shared" si="76"/>
        <v>0</v>
      </c>
      <c r="O201" s="8"/>
      <c r="P201" s="8">
        <f t="shared" si="77"/>
        <v>0</v>
      </c>
      <c r="Q201" s="8">
        <f t="shared" si="78"/>
        <v>0</v>
      </c>
      <c r="R201" s="8">
        <f t="shared" si="16"/>
        <v>0</v>
      </c>
      <c r="S201" s="8">
        <f>IFERROR((O201+P201)*INDEX([1]Sheet1!$A$1:$A$13,MATCH((O201+P201),[1]Sheet1!$B$1:$B$13)),0)</f>
        <v>0</v>
      </c>
      <c r="T201" s="6">
        <f t="shared" si="79"/>
        <v>0</v>
      </c>
      <c r="U201" s="8"/>
      <c r="V201" s="8">
        <f t="shared" si="80"/>
        <v>0</v>
      </c>
      <c r="W201" s="8">
        <f t="shared" si="81"/>
        <v>0</v>
      </c>
      <c r="X201" s="8">
        <f t="shared" si="20"/>
        <v>0</v>
      </c>
      <c r="Y201" s="8">
        <f>IFERROR((U201+V201)*INDEX([1]Sheet1!$A$1:$A$13,MATCH((U201+V201),[1]Sheet1!$B$1:$B$13)),0)</f>
        <v>0</v>
      </c>
      <c r="Z201" s="6">
        <f t="shared" si="82"/>
        <v>0</v>
      </c>
      <c r="AA201" s="8"/>
      <c r="AB201" s="8">
        <f t="shared" si="83"/>
        <v>0</v>
      </c>
      <c r="AC201" s="8">
        <f t="shared" si="84"/>
        <v>0</v>
      </c>
      <c r="AD201" s="8">
        <f t="shared" si="24"/>
        <v>0</v>
      </c>
      <c r="AE201" s="8">
        <f>IFERROR((AA201+AB201)*INDEX([1]Sheet1!$A$1:$A$13,MATCH((AA201+AB201),[1]Sheet1!$B$1:$B$13)),0)</f>
        <v>0</v>
      </c>
      <c r="AF201" s="6">
        <f t="shared" si="85"/>
        <v>0</v>
      </c>
      <c r="AG201" s="8"/>
      <c r="AH201" s="8">
        <f t="shared" si="86"/>
        <v>0</v>
      </c>
      <c r="AI201" s="8">
        <f t="shared" si="87"/>
        <v>0</v>
      </c>
      <c r="AJ201" s="8">
        <f t="shared" si="28"/>
        <v>0</v>
      </c>
      <c r="AK201" s="8">
        <f>IFERROR((AG201+AH201)*INDEX([1]Sheet1!$A$1:$A$13,MATCH((AG201+AH201),[1]Sheet1!$B$1:$B$13)),0)</f>
        <v>0</v>
      </c>
      <c r="AL201" s="6">
        <f t="shared" si="88"/>
        <v>0</v>
      </c>
      <c r="AM201" s="8"/>
      <c r="AN201" s="8">
        <f t="shared" si="89"/>
        <v>0</v>
      </c>
      <c r="AO201" s="8">
        <f t="shared" si="90"/>
        <v>0</v>
      </c>
      <c r="AP201" s="8">
        <f t="shared" si="100"/>
        <v>0</v>
      </c>
      <c r="AQ201" s="8">
        <f>IFERROR((AM201+AN201)*INDEX([1]Sheet1!$A$1:$A$13,MATCH((AM201+AN201),[1]Sheet1!$B$1:$B$13)),0)</f>
        <v>0</v>
      </c>
      <c r="AR201" s="6">
        <f t="shared" si="91"/>
        <v>0</v>
      </c>
      <c r="AS201" s="8"/>
      <c r="AT201" s="8">
        <f t="shared" si="92"/>
        <v>0</v>
      </c>
      <c r="AU201" s="8">
        <f t="shared" si="93"/>
        <v>0</v>
      </c>
      <c r="AV201" s="8">
        <f t="shared" si="101"/>
        <v>0</v>
      </c>
      <c r="AW201" s="8">
        <f>IFERROR((AS201+AT201)*INDEX([1]Sheet1!$A$1:$A$13,MATCH((AS201+AT201),[1]Sheet1!$B$1:$B$13)),0)</f>
        <v>0</v>
      </c>
      <c r="BC201" s="1" t="str">
        <f t="shared" si="94"/>
        <v/>
      </c>
    </row>
    <row r="202" spans="1:55" ht="18" customHeight="1" x14ac:dyDescent="0.2">
      <c r="A202" s="4"/>
      <c r="B202" s="5"/>
      <c r="C202" s="6"/>
      <c r="D202" s="6"/>
      <c r="E202" s="6"/>
      <c r="F202" s="4"/>
      <c r="G202" s="7"/>
      <c r="H202" s="6">
        <f t="shared" si="74"/>
        <v>0</v>
      </c>
      <c r="I202" s="8"/>
      <c r="J202" s="8"/>
      <c r="K202" s="8">
        <f t="shared" si="75"/>
        <v>0</v>
      </c>
      <c r="L202" s="8">
        <f t="shared" si="36"/>
        <v>0</v>
      </c>
      <c r="M202" s="8">
        <f>IFERROR((I202+J202)*INDEX([1]Sheet1!$A$1:$A$13,MATCH((I202+J202),[1]Sheet1!$B$1:$B$13)),0)</f>
        <v>0</v>
      </c>
      <c r="N202" s="6">
        <f t="shared" si="76"/>
        <v>0</v>
      </c>
      <c r="O202" s="8"/>
      <c r="P202" s="8">
        <f t="shared" si="77"/>
        <v>0</v>
      </c>
      <c r="Q202" s="8">
        <f t="shared" si="78"/>
        <v>0</v>
      </c>
      <c r="R202" s="8">
        <f t="shared" si="16"/>
        <v>0</v>
      </c>
      <c r="S202" s="8">
        <f>IFERROR((O202+P202)*INDEX([1]Sheet1!$A$1:$A$13,MATCH((O202+P202),[1]Sheet1!$B$1:$B$13)),0)</f>
        <v>0</v>
      </c>
      <c r="T202" s="6">
        <f t="shared" si="79"/>
        <v>0</v>
      </c>
      <c r="U202" s="8"/>
      <c r="V202" s="8">
        <f t="shared" si="80"/>
        <v>0</v>
      </c>
      <c r="W202" s="8">
        <f t="shared" si="81"/>
        <v>0</v>
      </c>
      <c r="X202" s="8">
        <f t="shared" si="20"/>
        <v>0</v>
      </c>
      <c r="Y202" s="8">
        <f>IFERROR((U202+V202)*INDEX([1]Sheet1!$A$1:$A$13,MATCH((U202+V202),[1]Sheet1!$B$1:$B$13)),0)</f>
        <v>0</v>
      </c>
      <c r="Z202" s="6">
        <f t="shared" si="82"/>
        <v>0</v>
      </c>
      <c r="AA202" s="8"/>
      <c r="AB202" s="8">
        <f t="shared" si="83"/>
        <v>0</v>
      </c>
      <c r="AC202" s="8">
        <f t="shared" si="84"/>
        <v>0</v>
      </c>
      <c r="AD202" s="8">
        <f t="shared" si="24"/>
        <v>0</v>
      </c>
      <c r="AE202" s="8">
        <f>IFERROR((AA202+AB202)*INDEX([1]Sheet1!$A$1:$A$13,MATCH((AA202+AB202),[1]Sheet1!$B$1:$B$13)),0)</f>
        <v>0</v>
      </c>
      <c r="AF202" s="6">
        <f t="shared" si="85"/>
        <v>0</v>
      </c>
      <c r="AG202" s="8"/>
      <c r="AH202" s="8">
        <f t="shared" si="86"/>
        <v>0</v>
      </c>
      <c r="AI202" s="8">
        <f t="shared" si="87"/>
        <v>0</v>
      </c>
      <c r="AJ202" s="8">
        <f t="shared" si="28"/>
        <v>0</v>
      </c>
      <c r="AK202" s="8">
        <f>IFERROR((AG202+AH202)*INDEX([1]Sheet1!$A$1:$A$13,MATCH((AG202+AH202),[1]Sheet1!$B$1:$B$13)),0)</f>
        <v>0</v>
      </c>
      <c r="AL202" s="6">
        <f t="shared" si="88"/>
        <v>0</v>
      </c>
      <c r="AM202" s="8"/>
      <c r="AN202" s="8">
        <f t="shared" si="89"/>
        <v>0</v>
      </c>
      <c r="AO202" s="8">
        <f t="shared" si="90"/>
        <v>0</v>
      </c>
      <c r="AP202" s="8">
        <f t="shared" si="100"/>
        <v>0</v>
      </c>
      <c r="AQ202" s="8">
        <f>IFERROR((AM202+AN202)*INDEX([1]Sheet1!$A$1:$A$13,MATCH((AM202+AN202),[1]Sheet1!$B$1:$B$13)),0)</f>
        <v>0</v>
      </c>
      <c r="AR202" s="6">
        <f t="shared" si="91"/>
        <v>0</v>
      </c>
      <c r="AS202" s="8"/>
      <c r="AT202" s="8">
        <f t="shared" si="92"/>
        <v>0</v>
      </c>
      <c r="AU202" s="8">
        <f t="shared" si="93"/>
        <v>0</v>
      </c>
      <c r="AV202" s="8">
        <f t="shared" si="101"/>
        <v>0</v>
      </c>
      <c r="AW202" s="8">
        <f>IFERROR((AS202+AT202)*INDEX([1]Sheet1!$A$1:$A$13,MATCH((AS202+AT202),[1]Sheet1!$B$1:$B$13)),0)</f>
        <v>0</v>
      </c>
      <c r="BC202" s="1" t="str">
        <f t="shared" si="94"/>
        <v/>
      </c>
    </row>
    <row r="203" spans="1:55" ht="18" customHeight="1" x14ac:dyDescent="0.2">
      <c r="A203" s="4"/>
      <c r="B203" s="6"/>
      <c r="C203" s="6"/>
      <c r="D203" s="6"/>
      <c r="E203" s="6"/>
      <c r="F203" s="4"/>
      <c r="G203" s="7"/>
      <c r="H203" s="6">
        <f t="shared" si="74"/>
        <v>0</v>
      </c>
      <c r="I203" s="8"/>
      <c r="J203" s="8"/>
      <c r="K203" s="8">
        <f t="shared" si="75"/>
        <v>0</v>
      </c>
      <c r="L203" s="8">
        <f t="shared" si="36"/>
        <v>0</v>
      </c>
      <c r="M203" s="8">
        <f>IFERROR((I203+J203)*INDEX([1]Sheet1!$A$1:$A$13,MATCH((I203+J203),[1]Sheet1!$B$1:$B$13)),0)</f>
        <v>0</v>
      </c>
      <c r="N203" s="6">
        <f t="shared" si="76"/>
        <v>0</v>
      </c>
      <c r="O203" s="8"/>
      <c r="P203" s="8">
        <f t="shared" si="77"/>
        <v>0</v>
      </c>
      <c r="Q203" s="8">
        <f t="shared" si="78"/>
        <v>0</v>
      </c>
      <c r="R203" s="8">
        <f t="shared" si="16"/>
        <v>0</v>
      </c>
      <c r="S203" s="8">
        <f>IFERROR((O203+P203)*INDEX([1]Sheet1!$A$1:$A$13,MATCH((O203+P203),[1]Sheet1!$B$1:$B$13)),0)</f>
        <v>0</v>
      </c>
      <c r="T203" s="6">
        <f t="shared" si="79"/>
        <v>0</v>
      </c>
      <c r="U203" s="8"/>
      <c r="V203" s="8">
        <f t="shared" si="80"/>
        <v>0</v>
      </c>
      <c r="W203" s="8">
        <f t="shared" si="81"/>
        <v>0</v>
      </c>
      <c r="X203" s="8">
        <f t="shared" si="20"/>
        <v>0</v>
      </c>
      <c r="Y203" s="8">
        <f>IFERROR((U203+V203)*INDEX([1]Sheet1!$A$1:$A$13,MATCH((U203+V203),[1]Sheet1!$B$1:$B$13)),0)</f>
        <v>0</v>
      </c>
      <c r="Z203" s="6">
        <f t="shared" si="82"/>
        <v>0</v>
      </c>
      <c r="AA203" s="8"/>
      <c r="AB203" s="8">
        <f t="shared" si="83"/>
        <v>0</v>
      </c>
      <c r="AC203" s="8">
        <f t="shared" si="84"/>
        <v>0</v>
      </c>
      <c r="AD203" s="8">
        <f t="shared" si="24"/>
        <v>0</v>
      </c>
      <c r="AE203" s="8">
        <f>IFERROR((AA203+AB203)*INDEX([1]Sheet1!$A$1:$A$13,MATCH((AA203+AB203),[1]Sheet1!$B$1:$B$13)),0)</f>
        <v>0</v>
      </c>
      <c r="AF203" s="6">
        <f t="shared" si="85"/>
        <v>0</v>
      </c>
      <c r="AG203" s="8"/>
      <c r="AH203" s="8">
        <f t="shared" si="86"/>
        <v>0</v>
      </c>
      <c r="AI203" s="8">
        <f t="shared" si="87"/>
        <v>0</v>
      </c>
      <c r="AJ203" s="8">
        <f t="shared" si="28"/>
        <v>0</v>
      </c>
      <c r="AK203" s="8">
        <f>IFERROR((AG203+AH203)*INDEX([1]Sheet1!$A$1:$A$13,MATCH((AG203+AH203),[1]Sheet1!$B$1:$B$13)),0)</f>
        <v>0</v>
      </c>
      <c r="AL203" s="6">
        <f t="shared" si="88"/>
        <v>0</v>
      </c>
      <c r="AM203" s="8"/>
      <c r="AN203" s="8">
        <f t="shared" si="89"/>
        <v>0</v>
      </c>
      <c r="AO203" s="8">
        <f t="shared" si="90"/>
        <v>0</v>
      </c>
      <c r="AP203" s="8">
        <f t="shared" si="100"/>
        <v>0</v>
      </c>
      <c r="AQ203" s="8">
        <f>IFERROR((AM203+AN203)*INDEX([1]Sheet1!$A$1:$A$13,MATCH((AM203+AN203),[1]Sheet1!$B$1:$B$13)),0)</f>
        <v>0</v>
      </c>
      <c r="AR203" s="6">
        <f t="shared" si="91"/>
        <v>0</v>
      </c>
      <c r="AS203" s="8"/>
      <c r="AT203" s="8">
        <f t="shared" si="92"/>
        <v>0</v>
      </c>
      <c r="AU203" s="8">
        <f t="shared" si="93"/>
        <v>0</v>
      </c>
      <c r="AV203" s="8">
        <f t="shared" si="101"/>
        <v>0</v>
      </c>
      <c r="AW203" s="8">
        <f>IFERROR((AS203+AT203)*INDEX([1]Sheet1!$A$1:$A$13,MATCH((AS203+AT203),[1]Sheet1!$B$1:$B$13)),0)</f>
        <v>0</v>
      </c>
      <c r="BC203" s="1" t="str">
        <f t="shared" si="94"/>
        <v/>
      </c>
    </row>
    <row r="204" spans="1:55" ht="18" customHeight="1" x14ac:dyDescent="0.2">
      <c r="A204" s="4"/>
      <c r="B204" s="5"/>
      <c r="C204" s="6"/>
      <c r="D204" s="6"/>
      <c r="E204" s="6"/>
      <c r="F204" s="4"/>
      <c r="G204" s="7"/>
      <c r="H204" s="6">
        <f t="shared" si="74"/>
        <v>0</v>
      </c>
      <c r="I204" s="8"/>
      <c r="J204" s="8"/>
      <c r="K204" s="8">
        <f t="shared" si="75"/>
        <v>0</v>
      </c>
      <c r="L204" s="8">
        <f t="shared" si="36"/>
        <v>0</v>
      </c>
      <c r="M204" s="8">
        <f>IFERROR((I204+J204)*INDEX([1]Sheet1!$A$1:$A$13,MATCH((I204+J204),[1]Sheet1!$B$1:$B$13)),0)</f>
        <v>0</v>
      </c>
      <c r="N204" s="6">
        <f t="shared" si="76"/>
        <v>0</v>
      </c>
      <c r="O204" s="8"/>
      <c r="P204" s="8">
        <f t="shared" si="77"/>
        <v>0</v>
      </c>
      <c r="Q204" s="8">
        <f t="shared" si="78"/>
        <v>0</v>
      </c>
      <c r="R204" s="8">
        <f t="shared" si="16"/>
        <v>0</v>
      </c>
      <c r="S204" s="8">
        <f>IFERROR((O204+P204)*INDEX([1]Sheet1!$A$1:$A$13,MATCH((O204+P204),[1]Sheet1!$B$1:$B$13)),0)</f>
        <v>0</v>
      </c>
      <c r="T204" s="6">
        <f t="shared" si="79"/>
        <v>0</v>
      </c>
      <c r="U204" s="8"/>
      <c r="V204" s="8">
        <f t="shared" si="80"/>
        <v>0</v>
      </c>
      <c r="W204" s="8">
        <f t="shared" si="81"/>
        <v>0</v>
      </c>
      <c r="X204" s="8">
        <f t="shared" si="20"/>
        <v>0</v>
      </c>
      <c r="Y204" s="8">
        <f>IFERROR((U204+V204)*INDEX([1]Sheet1!$A$1:$A$13,MATCH((U204+V204),[1]Sheet1!$B$1:$B$13)),0)</f>
        <v>0</v>
      </c>
      <c r="Z204" s="6">
        <f t="shared" si="82"/>
        <v>0</v>
      </c>
      <c r="AA204" s="8"/>
      <c r="AB204" s="8">
        <f t="shared" si="83"/>
        <v>0</v>
      </c>
      <c r="AC204" s="8">
        <f t="shared" si="84"/>
        <v>0</v>
      </c>
      <c r="AD204" s="8">
        <f t="shared" si="24"/>
        <v>0</v>
      </c>
      <c r="AE204" s="8">
        <f>IFERROR((AA204+AB204)*INDEX([1]Sheet1!$A$1:$A$13,MATCH((AA204+AB204),[1]Sheet1!$B$1:$B$13)),0)</f>
        <v>0</v>
      </c>
      <c r="AF204" s="6">
        <f t="shared" si="85"/>
        <v>0</v>
      </c>
      <c r="AG204" s="8"/>
      <c r="AH204" s="8">
        <f t="shared" si="86"/>
        <v>0</v>
      </c>
      <c r="AI204" s="8">
        <f t="shared" si="87"/>
        <v>0</v>
      </c>
      <c r="AJ204" s="8">
        <f t="shared" si="28"/>
        <v>0</v>
      </c>
      <c r="AK204" s="8">
        <f>IFERROR((AG204+AH204)*INDEX([1]Sheet1!$A$1:$A$13,MATCH((AG204+AH204),[1]Sheet1!$B$1:$B$13)),0)</f>
        <v>0</v>
      </c>
      <c r="AL204" s="6">
        <f t="shared" si="88"/>
        <v>0</v>
      </c>
      <c r="AM204" s="8"/>
      <c r="AN204" s="8">
        <f t="shared" si="89"/>
        <v>0</v>
      </c>
      <c r="AO204" s="8">
        <f t="shared" si="90"/>
        <v>0</v>
      </c>
      <c r="AP204" s="8">
        <f t="shared" si="100"/>
        <v>0</v>
      </c>
      <c r="AQ204" s="8">
        <f>IFERROR((AM204+AN204)*INDEX([1]Sheet1!$A$1:$A$13,MATCH((AM204+AN204),[1]Sheet1!$B$1:$B$13)),0)</f>
        <v>0</v>
      </c>
      <c r="AR204" s="6">
        <f t="shared" si="91"/>
        <v>0</v>
      </c>
      <c r="AS204" s="8"/>
      <c r="AT204" s="8">
        <f t="shared" si="92"/>
        <v>0</v>
      </c>
      <c r="AU204" s="8">
        <f t="shared" si="93"/>
        <v>0</v>
      </c>
      <c r="AV204" s="8">
        <f t="shared" si="101"/>
        <v>0</v>
      </c>
      <c r="AW204" s="8">
        <f>IFERROR((AS204+AT204)*INDEX([1]Sheet1!$A$1:$A$13,MATCH((AS204+AT204),[1]Sheet1!$B$1:$B$13)),0)</f>
        <v>0</v>
      </c>
      <c r="BC204" s="1" t="str">
        <f t="shared" si="94"/>
        <v/>
      </c>
    </row>
    <row r="205" spans="1:55" ht="18" customHeight="1" x14ac:dyDescent="0.2">
      <c r="A205" s="4"/>
      <c r="B205" s="5"/>
      <c r="C205" s="6"/>
      <c r="D205" s="6"/>
      <c r="E205" s="6"/>
      <c r="F205" s="4"/>
      <c r="G205" s="7"/>
      <c r="H205" s="6">
        <f t="shared" si="74"/>
        <v>0</v>
      </c>
      <c r="I205" s="8"/>
      <c r="J205" s="8"/>
      <c r="K205" s="8">
        <f t="shared" si="75"/>
        <v>0</v>
      </c>
      <c r="L205" s="8">
        <f t="shared" si="36"/>
        <v>0</v>
      </c>
      <c r="M205" s="8">
        <f>IFERROR((I205+J205)*INDEX([1]Sheet1!$A$1:$A$13,MATCH((I205+J205),[1]Sheet1!$B$1:$B$13)),0)</f>
        <v>0</v>
      </c>
      <c r="N205" s="6">
        <f t="shared" si="76"/>
        <v>0</v>
      </c>
      <c r="O205" s="8"/>
      <c r="P205" s="8">
        <f t="shared" si="77"/>
        <v>0</v>
      </c>
      <c r="Q205" s="8">
        <f t="shared" si="78"/>
        <v>0</v>
      </c>
      <c r="R205" s="8">
        <f t="shared" si="16"/>
        <v>0</v>
      </c>
      <c r="S205" s="8">
        <f>IFERROR((O205+P205)*INDEX([1]Sheet1!$A$1:$A$13,MATCH((O205+P205),[1]Sheet1!$B$1:$B$13)),0)</f>
        <v>0</v>
      </c>
      <c r="T205" s="6">
        <f t="shared" si="79"/>
        <v>0</v>
      </c>
      <c r="U205" s="8"/>
      <c r="V205" s="8">
        <f t="shared" si="80"/>
        <v>0</v>
      </c>
      <c r="W205" s="8">
        <f t="shared" si="81"/>
        <v>0</v>
      </c>
      <c r="X205" s="8">
        <f t="shared" si="20"/>
        <v>0</v>
      </c>
      <c r="Y205" s="8">
        <f>IFERROR((U205+V205)*INDEX([1]Sheet1!$A$1:$A$13,MATCH((U205+V205),[1]Sheet1!$B$1:$B$13)),0)</f>
        <v>0</v>
      </c>
      <c r="Z205" s="6">
        <f t="shared" si="82"/>
        <v>0</v>
      </c>
      <c r="AA205" s="8"/>
      <c r="AB205" s="8">
        <f t="shared" si="83"/>
        <v>0</v>
      </c>
      <c r="AC205" s="8">
        <f t="shared" si="84"/>
        <v>0</v>
      </c>
      <c r="AD205" s="8">
        <f t="shared" si="24"/>
        <v>0</v>
      </c>
      <c r="AE205" s="8">
        <f>IFERROR((AA205+AB205)*INDEX([1]Sheet1!$A$1:$A$13,MATCH((AA205+AB205),[1]Sheet1!$B$1:$B$13)),0)</f>
        <v>0</v>
      </c>
      <c r="AF205" s="6">
        <f t="shared" si="85"/>
        <v>0</v>
      </c>
      <c r="AG205" s="8"/>
      <c r="AH205" s="8">
        <f t="shared" si="86"/>
        <v>0</v>
      </c>
      <c r="AI205" s="8">
        <f t="shared" si="87"/>
        <v>0</v>
      </c>
      <c r="AJ205" s="8">
        <f t="shared" si="28"/>
        <v>0</v>
      </c>
      <c r="AK205" s="8">
        <f>IFERROR((AG205+AH205)*INDEX([1]Sheet1!$A$1:$A$13,MATCH((AG205+AH205),[1]Sheet1!$B$1:$B$13)),0)</f>
        <v>0</v>
      </c>
      <c r="AL205" s="6">
        <f t="shared" si="88"/>
        <v>0</v>
      </c>
      <c r="AM205" s="8"/>
      <c r="AN205" s="8">
        <f t="shared" si="89"/>
        <v>0</v>
      </c>
      <c r="AO205" s="8">
        <f t="shared" si="90"/>
        <v>0</v>
      </c>
      <c r="AP205" s="8">
        <f t="shared" si="100"/>
        <v>0</v>
      </c>
      <c r="AQ205" s="8">
        <f>IFERROR((AM205+AN205)*INDEX([1]Sheet1!$A$1:$A$13,MATCH((AM205+AN205),[1]Sheet1!$B$1:$B$13)),0)</f>
        <v>0</v>
      </c>
      <c r="AR205" s="6">
        <f t="shared" si="91"/>
        <v>0</v>
      </c>
      <c r="AS205" s="8"/>
      <c r="AT205" s="8">
        <f t="shared" si="92"/>
        <v>0</v>
      </c>
      <c r="AU205" s="8">
        <f t="shared" si="93"/>
        <v>0</v>
      </c>
      <c r="AV205" s="8">
        <f t="shared" si="101"/>
        <v>0</v>
      </c>
      <c r="AW205" s="8">
        <f>IFERROR((AS205+AT205)*INDEX([1]Sheet1!$A$1:$A$13,MATCH((AS205+AT205),[1]Sheet1!$B$1:$B$13)),0)</f>
        <v>0</v>
      </c>
      <c r="BC205" s="1" t="str">
        <f t="shared" si="94"/>
        <v/>
      </c>
    </row>
    <row r="206" spans="1:55" ht="18" customHeight="1" x14ac:dyDescent="0.2">
      <c r="A206" s="4"/>
      <c r="B206" s="5"/>
      <c r="C206" s="6"/>
      <c r="D206" s="6"/>
      <c r="E206" s="6"/>
      <c r="F206" s="4"/>
      <c r="G206" s="7"/>
      <c r="H206" s="6">
        <f t="shared" si="74"/>
        <v>0</v>
      </c>
      <c r="I206" s="8"/>
      <c r="J206" s="8"/>
      <c r="K206" s="8">
        <f t="shared" si="75"/>
        <v>0</v>
      </c>
      <c r="L206" s="8">
        <f t="shared" si="36"/>
        <v>0</v>
      </c>
      <c r="M206" s="8">
        <f>IFERROR((I206+J206)*INDEX([1]Sheet1!$A$1:$A$13,MATCH((I206+J206),[1]Sheet1!$B$1:$B$13)),0)</f>
        <v>0</v>
      </c>
      <c r="N206" s="6">
        <f t="shared" si="76"/>
        <v>0</v>
      </c>
      <c r="O206" s="8"/>
      <c r="P206" s="8">
        <f t="shared" si="77"/>
        <v>0</v>
      </c>
      <c r="Q206" s="8">
        <f t="shared" si="78"/>
        <v>0</v>
      </c>
      <c r="R206" s="8">
        <f t="shared" si="16"/>
        <v>0</v>
      </c>
      <c r="S206" s="8">
        <f>IFERROR((O206+P206)*INDEX([1]Sheet1!$A$1:$A$13,MATCH((O206+P206),[1]Sheet1!$B$1:$B$13)),0)</f>
        <v>0</v>
      </c>
      <c r="T206" s="6">
        <f t="shared" si="79"/>
        <v>0</v>
      </c>
      <c r="U206" s="8"/>
      <c r="V206" s="8">
        <f t="shared" si="80"/>
        <v>0</v>
      </c>
      <c r="W206" s="8">
        <f t="shared" si="81"/>
        <v>0</v>
      </c>
      <c r="X206" s="8">
        <f t="shared" si="20"/>
        <v>0</v>
      </c>
      <c r="Y206" s="8">
        <f>IFERROR((U206+V206)*INDEX([1]Sheet1!$A$1:$A$13,MATCH((U206+V206),[1]Sheet1!$B$1:$B$13)),0)</f>
        <v>0</v>
      </c>
      <c r="Z206" s="6">
        <f t="shared" si="82"/>
        <v>0</v>
      </c>
      <c r="AA206" s="8"/>
      <c r="AB206" s="8">
        <f t="shared" si="83"/>
        <v>0</v>
      </c>
      <c r="AC206" s="8">
        <f t="shared" si="84"/>
        <v>0</v>
      </c>
      <c r="AD206" s="8">
        <f t="shared" si="24"/>
        <v>0</v>
      </c>
      <c r="AE206" s="8">
        <f>IFERROR((AA206+AB206)*INDEX([1]Sheet1!$A$1:$A$13,MATCH((AA206+AB206),[1]Sheet1!$B$1:$B$13)),0)</f>
        <v>0</v>
      </c>
      <c r="AF206" s="6">
        <f t="shared" si="85"/>
        <v>0</v>
      </c>
      <c r="AG206" s="8"/>
      <c r="AH206" s="8">
        <f t="shared" si="86"/>
        <v>0</v>
      </c>
      <c r="AI206" s="8">
        <f t="shared" si="87"/>
        <v>0</v>
      </c>
      <c r="AJ206" s="8">
        <f t="shared" si="28"/>
        <v>0</v>
      </c>
      <c r="AK206" s="8">
        <f>IFERROR((AG206+AH206)*INDEX([1]Sheet1!$A$1:$A$13,MATCH((AG206+AH206),[1]Sheet1!$B$1:$B$13)),0)</f>
        <v>0</v>
      </c>
      <c r="AL206" s="6">
        <f t="shared" si="88"/>
        <v>0</v>
      </c>
      <c r="AM206" s="8"/>
      <c r="AN206" s="8">
        <f t="shared" si="89"/>
        <v>0</v>
      </c>
      <c r="AO206" s="8">
        <f t="shared" si="90"/>
        <v>0</v>
      </c>
      <c r="AP206" s="8">
        <f t="shared" si="100"/>
        <v>0</v>
      </c>
      <c r="AQ206" s="8">
        <f>IFERROR((AM206+AN206)*INDEX([1]Sheet1!$A$1:$A$13,MATCH((AM206+AN206),[1]Sheet1!$B$1:$B$13)),0)</f>
        <v>0</v>
      </c>
      <c r="AR206" s="6">
        <f t="shared" si="91"/>
        <v>0</v>
      </c>
      <c r="AS206" s="8"/>
      <c r="AT206" s="8">
        <f t="shared" si="92"/>
        <v>0</v>
      </c>
      <c r="AU206" s="8">
        <f t="shared" si="93"/>
        <v>0</v>
      </c>
      <c r="AV206" s="8">
        <f t="shared" si="101"/>
        <v>0</v>
      </c>
      <c r="AW206" s="8">
        <f>IFERROR((AS206+AT206)*INDEX([1]Sheet1!$A$1:$A$13,MATCH((AS206+AT206),[1]Sheet1!$B$1:$B$13)),0)</f>
        <v>0</v>
      </c>
      <c r="BC206" s="1" t="str">
        <f t="shared" si="94"/>
        <v/>
      </c>
    </row>
    <row r="207" spans="1:55" ht="18" customHeight="1" x14ac:dyDescent="0.2">
      <c r="A207" s="4"/>
      <c r="B207" s="5"/>
      <c r="C207" s="6"/>
      <c r="D207" s="6"/>
      <c r="E207" s="6"/>
      <c r="F207" s="4"/>
      <c r="G207" s="7"/>
      <c r="H207" s="6">
        <f t="shared" si="74"/>
        <v>0</v>
      </c>
      <c r="I207" s="8"/>
      <c r="J207" s="8"/>
      <c r="K207" s="8">
        <f t="shared" si="75"/>
        <v>0</v>
      </c>
      <c r="L207" s="8">
        <f t="shared" si="36"/>
        <v>0</v>
      </c>
      <c r="M207" s="8">
        <f>IFERROR((I207+J207)*INDEX([1]Sheet1!$A$1:$A$13,MATCH((I207+J207),[1]Sheet1!$B$1:$B$13)),0)</f>
        <v>0</v>
      </c>
      <c r="N207" s="6">
        <f t="shared" si="76"/>
        <v>0</v>
      </c>
      <c r="O207" s="8"/>
      <c r="P207" s="8">
        <f t="shared" si="77"/>
        <v>0</v>
      </c>
      <c r="Q207" s="8">
        <f t="shared" si="78"/>
        <v>0</v>
      </c>
      <c r="R207" s="8">
        <f t="shared" si="16"/>
        <v>0</v>
      </c>
      <c r="S207" s="8">
        <f>IFERROR((O207+P207)*INDEX([1]Sheet1!$A$1:$A$13,MATCH((O207+P207),[1]Sheet1!$B$1:$B$13)),0)</f>
        <v>0</v>
      </c>
      <c r="T207" s="6">
        <f t="shared" si="79"/>
        <v>0</v>
      </c>
      <c r="U207" s="8"/>
      <c r="V207" s="8">
        <f t="shared" si="80"/>
        <v>0</v>
      </c>
      <c r="W207" s="8">
        <f t="shared" si="81"/>
        <v>0</v>
      </c>
      <c r="X207" s="8">
        <f t="shared" si="20"/>
        <v>0</v>
      </c>
      <c r="Y207" s="8">
        <f>IFERROR((U207+V207)*INDEX([1]Sheet1!$A$1:$A$13,MATCH((U207+V207),[1]Sheet1!$B$1:$B$13)),0)</f>
        <v>0</v>
      </c>
      <c r="Z207" s="6">
        <f t="shared" si="82"/>
        <v>0</v>
      </c>
      <c r="AA207" s="8"/>
      <c r="AB207" s="8">
        <f t="shared" si="83"/>
        <v>0</v>
      </c>
      <c r="AC207" s="8">
        <f t="shared" si="84"/>
        <v>0</v>
      </c>
      <c r="AD207" s="8">
        <f t="shared" si="24"/>
        <v>0</v>
      </c>
      <c r="AE207" s="8">
        <f>IFERROR((AA207+AB207)*INDEX([1]Sheet1!$A$1:$A$13,MATCH((AA207+AB207),[1]Sheet1!$B$1:$B$13)),0)</f>
        <v>0</v>
      </c>
      <c r="AF207" s="6">
        <f t="shared" si="85"/>
        <v>0</v>
      </c>
      <c r="AG207" s="8"/>
      <c r="AH207" s="8">
        <f t="shared" si="86"/>
        <v>0</v>
      </c>
      <c r="AI207" s="8">
        <f t="shared" si="87"/>
        <v>0</v>
      </c>
      <c r="AJ207" s="8">
        <f t="shared" si="28"/>
        <v>0</v>
      </c>
      <c r="AK207" s="8">
        <f>IFERROR((AG207+AH207)*INDEX([1]Sheet1!$A$1:$A$13,MATCH((AG207+AH207),[1]Sheet1!$B$1:$B$13)),0)</f>
        <v>0</v>
      </c>
      <c r="AL207" s="6">
        <f t="shared" si="88"/>
        <v>0</v>
      </c>
      <c r="AM207" s="8"/>
      <c r="AN207" s="8">
        <f t="shared" si="89"/>
        <v>0</v>
      </c>
      <c r="AO207" s="8">
        <f t="shared" si="90"/>
        <v>0</v>
      </c>
      <c r="AP207" s="8">
        <f t="shared" si="100"/>
        <v>0</v>
      </c>
      <c r="AQ207" s="8">
        <f>IFERROR((AM207+AN207)*INDEX([1]Sheet1!$A$1:$A$13,MATCH((AM207+AN207),[1]Sheet1!$B$1:$B$13)),0)</f>
        <v>0</v>
      </c>
      <c r="AR207" s="6">
        <f t="shared" si="91"/>
        <v>0</v>
      </c>
      <c r="AS207" s="8"/>
      <c r="AT207" s="8">
        <f t="shared" si="92"/>
        <v>0</v>
      </c>
      <c r="AU207" s="8">
        <f t="shared" si="93"/>
        <v>0</v>
      </c>
      <c r="AV207" s="8">
        <f t="shared" si="101"/>
        <v>0</v>
      </c>
      <c r="AW207" s="8">
        <f>IFERROR((AS207+AT207)*INDEX([1]Sheet1!$A$1:$A$13,MATCH((AS207+AT207),[1]Sheet1!$B$1:$B$13)),0)</f>
        <v>0</v>
      </c>
      <c r="BC207" s="1" t="str">
        <f t="shared" si="94"/>
        <v/>
      </c>
    </row>
    <row r="208" spans="1:55" ht="18" customHeight="1" x14ac:dyDescent="0.2">
      <c r="A208" s="4"/>
      <c r="B208" s="6"/>
      <c r="C208" s="6"/>
      <c r="D208" s="6"/>
      <c r="E208" s="6"/>
      <c r="F208" s="4"/>
      <c r="G208" s="7"/>
      <c r="H208" s="6">
        <f t="shared" si="74"/>
        <v>0</v>
      </c>
      <c r="I208" s="8"/>
      <c r="J208" s="8"/>
      <c r="K208" s="8">
        <f t="shared" si="75"/>
        <v>0</v>
      </c>
      <c r="L208" s="8">
        <f t="shared" si="36"/>
        <v>0</v>
      </c>
      <c r="M208" s="8">
        <f>IFERROR((I208+J208)*INDEX([1]Sheet1!$A$1:$A$13,MATCH((I208+J208),[1]Sheet1!$B$1:$B$13)),0)</f>
        <v>0</v>
      </c>
      <c r="N208" s="6">
        <f t="shared" si="76"/>
        <v>0</v>
      </c>
      <c r="O208" s="8"/>
      <c r="P208" s="8">
        <f t="shared" si="77"/>
        <v>0</v>
      </c>
      <c r="Q208" s="8">
        <f t="shared" si="78"/>
        <v>0</v>
      </c>
      <c r="R208" s="8">
        <f t="shared" si="16"/>
        <v>0</v>
      </c>
      <c r="S208" s="8">
        <f>IFERROR((O208+P208)*INDEX([1]Sheet1!$A$1:$A$13,MATCH((O208+P208),[1]Sheet1!$B$1:$B$13)),0)</f>
        <v>0</v>
      </c>
      <c r="T208" s="6">
        <f t="shared" si="79"/>
        <v>0</v>
      </c>
      <c r="U208" s="8"/>
      <c r="V208" s="8">
        <f t="shared" si="80"/>
        <v>0</v>
      </c>
      <c r="W208" s="8">
        <f t="shared" si="81"/>
        <v>0</v>
      </c>
      <c r="X208" s="8">
        <f t="shared" si="20"/>
        <v>0</v>
      </c>
      <c r="Y208" s="8">
        <f>IFERROR((U208+V208)*INDEX([1]Sheet1!$A$1:$A$13,MATCH((U208+V208),[1]Sheet1!$B$1:$B$13)),0)</f>
        <v>0</v>
      </c>
      <c r="Z208" s="6">
        <f t="shared" si="82"/>
        <v>0</v>
      </c>
      <c r="AA208" s="8"/>
      <c r="AB208" s="8">
        <f t="shared" si="83"/>
        <v>0</v>
      </c>
      <c r="AC208" s="8">
        <f t="shared" si="84"/>
        <v>0</v>
      </c>
      <c r="AD208" s="8">
        <f t="shared" si="24"/>
        <v>0</v>
      </c>
      <c r="AE208" s="8">
        <f>IFERROR((AA208+AB208)*INDEX([1]Sheet1!$A$1:$A$13,MATCH((AA208+AB208),[1]Sheet1!$B$1:$B$13)),0)</f>
        <v>0</v>
      </c>
      <c r="AF208" s="6">
        <f t="shared" si="85"/>
        <v>0</v>
      </c>
      <c r="AG208" s="8"/>
      <c r="AH208" s="8">
        <f t="shared" si="86"/>
        <v>0</v>
      </c>
      <c r="AI208" s="8">
        <f t="shared" si="87"/>
        <v>0</v>
      </c>
      <c r="AJ208" s="8">
        <f t="shared" si="28"/>
        <v>0</v>
      </c>
      <c r="AK208" s="8">
        <f>IFERROR((AG208+AH208)*INDEX([1]Sheet1!$A$1:$A$13,MATCH((AG208+AH208),[1]Sheet1!$B$1:$B$13)),0)</f>
        <v>0</v>
      </c>
      <c r="AL208" s="6">
        <f t="shared" si="88"/>
        <v>0</v>
      </c>
      <c r="AM208" s="8"/>
      <c r="AN208" s="8">
        <f t="shared" si="89"/>
        <v>0</v>
      </c>
      <c r="AO208" s="8">
        <f t="shared" si="90"/>
        <v>0</v>
      </c>
      <c r="AP208" s="8">
        <f t="shared" si="100"/>
        <v>0</v>
      </c>
      <c r="AQ208" s="8">
        <f>IFERROR((AM208+AN208)*INDEX([1]Sheet1!$A$1:$A$13,MATCH((AM208+AN208),[1]Sheet1!$B$1:$B$13)),0)</f>
        <v>0</v>
      </c>
      <c r="AR208" s="6">
        <f t="shared" si="91"/>
        <v>0</v>
      </c>
      <c r="AS208" s="8"/>
      <c r="AT208" s="8">
        <f t="shared" si="92"/>
        <v>0</v>
      </c>
      <c r="AU208" s="8">
        <f t="shared" si="93"/>
        <v>0</v>
      </c>
      <c r="AV208" s="8">
        <f t="shared" si="101"/>
        <v>0</v>
      </c>
      <c r="AW208" s="8">
        <f>IFERROR((AS208+AT208)*INDEX([1]Sheet1!$A$1:$A$13,MATCH((AS208+AT208),[1]Sheet1!$B$1:$B$13)),0)</f>
        <v>0</v>
      </c>
      <c r="BC208" s="1" t="str">
        <f t="shared" si="94"/>
        <v/>
      </c>
    </row>
    <row r="209" spans="1:55" ht="18" customHeight="1" x14ac:dyDescent="0.2">
      <c r="A209" s="4"/>
      <c r="B209" s="6"/>
      <c r="C209" s="6"/>
      <c r="D209" s="6"/>
      <c r="E209" s="6"/>
      <c r="F209" s="4"/>
      <c r="G209" s="7"/>
      <c r="H209" s="6">
        <f t="shared" si="74"/>
        <v>0</v>
      </c>
      <c r="I209" s="8"/>
      <c r="J209" s="8"/>
      <c r="K209" s="8">
        <f t="shared" si="75"/>
        <v>0</v>
      </c>
      <c r="L209" s="8">
        <f t="shared" si="36"/>
        <v>0</v>
      </c>
      <c r="M209" s="8">
        <f>IFERROR((I209+J209)*INDEX([1]Sheet1!$A$1:$A$13,MATCH((I209+J209),[1]Sheet1!$B$1:$B$13)),0)</f>
        <v>0</v>
      </c>
      <c r="N209" s="6">
        <f t="shared" si="76"/>
        <v>0</v>
      </c>
      <c r="O209" s="8"/>
      <c r="P209" s="8">
        <f t="shared" si="77"/>
        <v>0</v>
      </c>
      <c r="Q209" s="8">
        <f t="shared" si="78"/>
        <v>0</v>
      </c>
      <c r="R209" s="8">
        <f t="shared" si="16"/>
        <v>0</v>
      </c>
      <c r="S209" s="8">
        <f>IFERROR((O209+P209)*INDEX([1]Sheet1!$A$1:$A$13,MATCH((O209+P209),[1]Sheet1!$B$1:$B$13)),0)</f>
        <v>0</v>
      </c>
      <c r="T209" s="6">
        <f t="shared" si="79"/>
        <v>0</v>
      </c>
      <c r="U209" s="8"/>
      <c r="V209" s="8">
        <f t="shared" si="80"/>
        <v>0</v>
      </c>
      <c r="W209" s="8">
        <f t="shared" si="81"/>
        <v>0</v>
      </c>
      <c r="X209" s="8">
        <f t="shared" si="20"/>
        <v>0</v>
      </c>
      <c r="Y209" s="8">
        <f>IFERROR((U209+V209)*INDEX([1]Sheet1!$A$1:$A$13,MATCH((U209+V209),[1]Sheet1!$B$1:$B$13)),0)</f>
        <v>0</v>
      </c>
      <c r="Z209" s="6">
        <f t="shared" si="82"/>
        <v>0</v>
      </c>
      <c r="AA209" s="8"/>
      <c r="AB209" s="8">
        <f t="shared" si="83"/>
        <v>0</v>
      </c>
      <c r="AC209" s="8">
        <f t="shared" si="84"/>
        <v>0</v>
      </c>
      <c r="AD209" s="8">
        <f t="shared" si="24"/>
        <v>0</v>
      </c>
      <c r="AE209" s="8">
        <f>IFERROR((AA209+AB209)*INDEX([1]Sheet1!$A$1:$A$13,MATCH((AA209+AB209),[1]Sheet1!$B$1:$B$13)),0)</f>
        <v>0</v>
      </c>
      <c r="AF209" s="6">
        <f t="shared" si="85"/>
        <v>0</v>
      </c>
      <c r="AG209" s="8"/>
      <c r="AH209" s="8">
        <f t="shared" si="86"/>
        <v>0</v>
      </c>
      <c r="AI209" s="8">
        <f t="shared" si="87"/>
        <v>0</v>
      </c>
      <c r="AJ209" s="8">
        <f t="shared" si="28"/>
        <v>0</v>
      </c>
      <c r="AK209" s="8">
        <f>IFERROR((AG209+AH209)*INDEX([1]Sheet1!$A$1:$A$13,MATCH((AG209+AH209),[1]Sheet1!$B$1:$B$13)),0)</f>
        <v>0</v>
      </c>
      <c r="AL209" s="6">
        <f t="shared" si="88"/>
        <v>0</v>
      </c>
      <c r="AM209" s="8"/>
      <c r="AN209" s="8">
        <f t="shared" si="89"/>
        <v>0</v>
      </c>
      <c r="AO209" s="8">
        <f t="shared" si="90"/>
        <v>0</v>
      </c>
      <c r="AP209" s="8">
        <f t="shared" si="100"/>
        <v>0</v>
      </c>
      <c r="AQ209" s="8">
        <f>IFERROR((AM209+AN209)*INDEX([1]Sheet1!$A$1:$A$13,MATCH((AM209+AN209),[1]Sheet1!$B$1:$B$13)),0)</f>
        <v>0</v>
      </c>
      <c r="AR209" s="6">
        <f t="shared" si="91"/>
        <v>0</v>
      </c>
      <c r="AS209" s="8"/>
      <c r="AT209" s="8">
        <f t="shared" si="92"/>
        <v>0</v>
      </c>
      <c r="AU209" s="8">
        <f t="shared" si="93"/>
        <v>0</v>
      </c>
      <c r="AV209" s="8">
        <f t="shared" si="101"/>
        <v>0</v>
      </c>
      <c r="AW209" s="8">
        <f>IFERROR((AS209+AT209)*INDEX([1]Sheet1!$A$1:$A$13,MATCH((AS209+AT209),[1]Sheet1!$B$1:$B$13)),0)</f>
        <v>0</v>
      </c>
      <c r="BC209" s="1" t="str">
        <f t="shared" si="94"/>
        <v/>
      </c>
    </row>
    <row r="210" spans="1:55" ht="18" customHeight="1" x14ac:dyDescent="0.2">
      <c r="A210" s="4"/>
      <c r="B210" s="6"/>
      <c r="C210" s="6"/>
      <c r="D210" s="6"/>
      <c r="E210" s="6"/>
      <c r="F210" s="4"/>
      <c r="G210" s="7"/>
      <c r="H210" s="6">
        <f t="shared" si="74"/>
        <v>0</v>
      </c>
      <c r="I210" s="8"/>
      <c r="J210" s="8"/>
      <c r="K210" s="8">
        <f t="shared" si="75"/>
        <v>0</v>
      </c>
      <c r="L210" s="8">
        <f t="shared" si="36"/>
        <v>0</v>
      </c>
      <c r="M210" s="8">
        <f>IFERROR((I210+J210)*INDEX([1]Sheet1!$A$1:$A$13,MATCH((I210+J210),[1]Sheet1!$B$1:$B$13)),0)</f>
        <v>0</v>
      </c>
      <c r="N210" s="6">
        <f t="shared" si="76"/>
        <v>0</v>
      </c>
      <c r="O210" s="8"/>
      <c r="P210" s="8">
        <f t="shared" si="77"/>
        <v>0</v>
      </c>
      <c r="Q210" s="8">
        <f t="shared" si="78"/>
        <v>0</v>
      </c>
      <c r="R210" s="8">
        <f t="shared" si="16"/>
        <v>0</v>
      </c>
      <c r="S210" s="8">
        <f>IFERROR((O210+P210)*INDEX([1]Sheet1!$A$1:$A$13,MATCH((O210+P210),[1]Sheet1!$B$1:$B$13)),0)</f>
        <v>0</v>
      </c>
      <c r="T210" s="6">
        <f t="shared" si="79"/>
        <v>0</v>
      </c>
      <c r="U210" s="8"/>
      <c r="V210" s="8">
        <f t="shared" si="80"/>
        <v>0</v>
      </c>
      <c r="W210" s="8">
        <f t="shared" si="81"/>
        <v>0</v>
      </c>
      <c r="X210" s="8">
        <f t="shared" si="20"/>
        <v>0</v>
      </c>
      <c r="Y210" s="8">
        <f>IFERROR((U210+V210)*INDEX([1]Sheet1!$A$1:$A$13,MATCH((U210+V210),[1]Sheet1!$B$1:$B$13)),0)</f>
        <v>0</v>
      </c>
      <c r="Z210" s="6">
        <f t="shared" si="82"/>
        <v>0</v>
      </c>
      <c r="AA210" s="8"/>
      <c r="AB210" s="8">
        <f t="shared" si="83"/>
        <v>0</v>
      </c>
      <c r="AC210" s="8">
        <f t="shared" si="84"/>
        <v>0</v>
      </c>
      <c r="AD210" s="8">
        <f t="shared" si="24"/>
        <v>0</v>
      </c>
      <c r="AE210" s="8">
        <f>IFERROR((AA210+AB210)*INDEX([1]Sheet1!$A$1:$A$13,MATCH((AA210+AB210),[1]Sheet1!$B$1:$B$13)),0)</f>
        <v>0</v>
      </c>
      <c r="AF210" s="6">
        <f t="shared" si="85"/>
        <v>0</v>
      </c>
      <c r="AG210" s="8"/>
      <c r="AH210" s="8">
        <f t="shared" si="86"/>
        <v>0</v>
      </c>
      <c r="AI210" s="8">
        <f t="shared" si="87"/>
        <v>0</v>
      </c>
      <c r="AJ210" s="8">
        <f t="shared" si="28"/>
        <v>0</v>
      </c>
      <c r="AK210" s="8">
        <f>IFERROR((AG210+AH210)*INDEX([1]Sheet1!$A$1:$A$13,MATCH((AG210+AH210),[1]Sheet1!$B$1:$B$13)),0)</f>
        <v>0</v>
      </c>
      <c r="AL210" s="6">
        <f t="shared" si="88"/>
        <v>0</v>
      </c>
      <c r="AM210" s="8"/>
      <c r="AN210" s="8">
        <f t="shared" si="89"/>
        <v>0</v>
      </c>
      <c r="AO210" s="8">
        <f t="shared" si="90"/>
        <v>0</v>
      </c>
      <c r="AP210" s="8">
        <f t="shared" si="100"/>
        <v>0</v>
      </c>
      <c r="AQ210" s="8">
        <f>IFERROR((AM210+AN210)*INDEX([1]Sheet1!$A$1:$A$13,MATCH((AM210+AN210),[1]Sheet1!$B$1:$B$13)),0)</f>
        <v>0</v>
      </c>
      <c r="AR210" s="6">
        <f t="shared" si="91"/>
        <v>0</v>
      </c>
      <c r="AS210" s="8"/>
      <c r="AT210" s="8">
        <f t="shared" si="92"/>
        <v>0</v>
      </c>
      <c r="AU210" s="8">
        <f t="shared" si="93"/>
        <v>0</v>
      </c>
      <c r="AV210" s="8">
        <f t="shared" si="101"/>
        <v>0</v>
      </c>
      <c r="AW210" s="8">
        <f>IFERROR((AS210+AT210)*INDEX([1]Sheet1!$A$1:$A$13,MATCH((AS210+AT210),[1]Sheet1!$B$1:$B$13)),0)</f>
        <v>0</v>
      </c>
      <c r="BC210" s="1" t="str">
        <f t="shared" si="94"/>
        <v/>
      </c>
    </row>
    <row r="211" spans="1:55" ht="18" customHeight="1" x14ac:dyDescent="0.2">
      <c r="A211" s="4"/>
      <c r="B211" s="5"/>
      <c r="C211" s="6"/>
      <c r="D211" s="6"/>
      <c r="E211" s="6"/>
      <c r="F211" s="4"/>
      <c r="G211" s="7"/>
      <c r="H211" s="6">
        <f t="shared" si="74"/>
        <v>0</v>
      </c>
      <c r="I211" s="8"/>
      <c r="J211" s="8"/>
      <c r="K211" s="8">
        <f t="shared" si="75"/>
        <v>0</v>
      </c>
      <c r="L211" s="8">
        <f t="shared" si="36"/>
        <v>0</v>
      </c>
      <c r="M211" s="8">
        <f>IFERROR((I211+J211)*INDEX([1]Sheet1!$A$1:$A$13,MATCH((I211+J211),[1]Sheet1!$B$1:$B$13)),0)</f>
        <v>0</v>
      </c>
      <c r="N211" s="6">
        <f t="shared" si="76"/>
        <v>0</v>
      </c>
      <c r="O211" s="8"/>
      <c r="P211" s="8">
        <f t="shared" si="77"/>
        <v>0</v>
      </c>
      <c r="Q211" s="8">
        <f t="shared" si="78"/>
        <v>0</v>
      </c>
      <c r="R211" s="8">
        <f t="shared" si="16"/>
        <v>0</v>
      </c>
      <c r="S211" s="8">
        <f>IFERROR((O211+P211)*INDEX([1]Sheet1!$A$1:$A$13,MATCH((O211+P211),[1]Sheet1!$B$1:$B$13)),0)</f>
        <v>0</v>
      </c>
      <c r="T211" s="6">
        <f t="shared" si="79"/>
        <v>0</v>
      </c>
      <c r="U211" s="8"/>
      <c r="V211" s="8">
        <f t="shared" si="80"/>
        <v>0</v>
      </c>
      <c r="W211" s="8">
        <f t="shared" si="81"/>
        <v>0</v>
      </c>
      <c r="X211" s="8">
        <f t="shared" si="20"/>
        <v>0</v>
      </c>
      <c r="Y211" s="8">
        <f>IFERROR((U211+V211)*INDEX([1]Sheet1!$A$1:$A$13,MATCH((U211+V211),[1]Sheet1!$B$1:$B$13)),0)</f>
        <v>0</v>
      </c>
      <c r="Z211" s="6">
        <f t="shared" si="82"/>
        <v>0</v>
      </c>
      <c r="AA211" s="8"/>
      <c r="AB211" s="8">
        <f t="shared" si="83"/>
        <v>0</v>
      </c>
      <c r="AC211" s="8">
        <f t="shared" si="84"/>
        <v>0</v>
      </c>
      <c r="AD211" s="8">
        <f t="shared" si="24"/>
        <v>0</v>
      </c>
      <c r="AE211" s="8">
        <f>IFERROR((AA211+AB211)*INDEX([1]Sheet1!$A$1:$A$13,MATCH((AA211+AB211),[1]Sheet1!$B$1:$B$13)),0)</f>
        <v>0</v>
      </c>
      <c r="AF211" s="6">
        <f t="shared" si="85"/>
        <v>0</v>
      </c>
      <c r="AG211" s="8"/>
      <c r="AH211" s="8">
        <f t="shared" si="86"/>
        <v>0</v>
      </c>
      <c r="AI211" s="8">
        <f t="shared" si="87"/>
        <v>0</v>
      </c>
      <c r="AJ211" s="8">
        <f t="shared" si="28"/>
        <v>0</v>
      </c>
      <c r="AK211" s="8">
        <f>IFERROR((AG211+AH211)*INDEX([1]Sheet1!$A$1:$A$13,MATCH((AG211+AH211),[1]Sheet1!$B$1:$B$13)),0)</f>
        <v>0</v>
      </c>
      <c r="AL211" s="6">
        <f t="shared" si="88"/>
        <v>0</v>
      </c>
      <c r="AM211" s="8"/>
      <c r="AN211" s="8">
        <f t="shared" si="89"/>
        <v>0</v>
      </c>
      <c r="AO211" s="8">
        <f t="shared" si="90"/>
        <v>0</v>
      </c>
      <c r="AP211" s="8">
        <f t="shared" si="100"/>
        <v>0</v>
      </c>
      <c r="AQ211" s="8">
        <f>IFERROR((AM211+AN211)*INDEX([1]Sheet1!$A$1:$A$13,MATCH((AM211+AN211),[1]Sheet1!$B$1:$B$13)),0)</f>
        <v>0</v>
      </c>
      <c r="AR211" s="6">
        <f t="shared" si="91"/>
        <v>0</v>
      </c>
      <c r="AS211" s="8"/>
      <c r="AT211" s="8">
        <f t="shared" si="92"/>
        <v>0</v>
      </c>
      <c r="AU211" s="8">
        <f t="shared" si="93"/>
        <v>0</v>
      </c>
      <c r="AV211" s="8">
        <f t="shared" si="101"/>
        <v>0</v>
      </c>
      <c r="AW211" s="8">
        <f>IFERROR((AS211+AT211)*INDEX([1]Sheet1!$A$1:$A$13,MATCH((AS211+AT211),[1]Sheet1!$B$1:$B$13)),0)</f>
        <v>0</v>
      </c>
      <c r="BC211" s="1" t="str">
        <f t="shared" si="94"/>
        <v/>
      </c>
    </row>
    <row r="212" spans="1:55" ht="18" customHeight="1" x14ac:dyDescent="0.2">
      <c r="A212" s="4"/>
      <c r="B212" s="6"/>
      <c r="C212" s="6"/>
      <c r="D212" s="6"/>
      <c r="E212" s="6"/>
      <c r="F212" s="4"/>
      <c r="G212" s="7"/>
      <c r="H212" s="6">
        <f t="shared" si="74"/>
        <v>0</v>
      </c>
      <c r="I212" s="8"/>
      <c r="J212" s="8"/>
      <c r="K212" s="8">
        <f t="shared" si="75"/>
        <v>0</v>
      </c>
      <c r="L212" s="8">
        <f t="shared" si="36"/>
        <v>0</v>
      </c>
      <c r="M212" s="8">
        <f>IFERROR((I212+J212)*INDEX([1]Sheet1!$A$1:$A$13,MATCH((I212+J212),[1]Sheet1!$B$1:$B$13)),0)</f>
        <v>0</v>
      </c>
      <c r="N212" s="6">
        <f t="shared" si="76"/>
        <v>0</v>
      </c>
      <c r="O212" s="8"/>
      <c r="P212" s="8">
        <f t="shared" si="77"/>
        <v>0</v>
      </c>
      <c r="Q212" s="8">
        <f t="shared" si="78"/>
        <v>0</v>
      </c>
      <c r="R212" s="8">
        <f t="shared" si="16"/>
        <v>0</v>
      </c>
      <c r="S212" s="8">
        <f>IFERROR((O212+P212)*INDEX([1]Sheet1!$A$1:$A$13,MATCH((O212+P212),[1]Sheet1!$B$1:$B$13)),0)</f>
        <v>0</v>
      </c>
      <c r="T212" s="6">
        <f t="shared" si="79"/>
        <v>0</v>
      </c>
      <c r="U212" s="8"/>
      <c r="V212" s="8">
        <f t="shared" si="80"/>
        <v>0</v>
      </c>
      <c r="W212" s="8">
        <f t="shared" si="81"/>
        <v>0</v>
      </c>
      <c r="X212" s="8">
        <f t="shared" si="20"/>
        <v>0</v>
      </c>
      <c r="Y212" s="8">
        <f>IFERROR((U212+V212)*INDEX([1]Sheet1!$A$1:$A$13,MATCH((U212+V212),[1]Sheet1!$B$1:$B$13)),0)</f>
        <v>0</v>
      </c>
      <c r="Z212" s="6">
        <f t="shared" si="82"/>
        <v>0</v>
      </c>
      <c r="AA212" s="8"/>
      <c r="AB212" s="8">
        <f t="shared" si="83"/>
        <v>0</v>
      </c>
      <c r="AC212" s="8">
        <f t="shared" si="84"/>
        <v>0</v>
      </c>
      <c r="AD212" s="8">
        <f t="shared" si="24"/>
        <v>0</v>
      </c>
      <c r="AE212" s="8">
        <f>IFERROR((AA212+AB212)*INDEX([1]Sheet1!$A$1:$A$13,MATCH((AA212+AB212),[1]Sheet1!$B$1:$B$13)),0)</f>
        <v>0</v>
      </c>
      <c r="AF212" s="6">
        <f t="shared" si="85"/>
        <v>0</v>
      </c>
      <c r="AG212" s="8"/>
      <c r="AH212" s="8">
        <f t="shared" si="86"/>
        <v>0</v>
      </c>
      <c r="AI212" s="8">
        <f t="shared" si="87"/>
        <v>0</v>
      </c>
      <c r="AJ212" s="8">
        <f t="shared" si="28"/>
        <v>0</v>
      </c>
      <c r="AK212" s="8">
        <f>IFERROR((AG212+AH212)*INDEX([1]Sheet1!$A$1:$A$13,MATCH((AG212+AH212),[1]Sheet1!$B$1:$B$13)),0)</f>
        <v>0</v>
      </c>
      <c r="AL212" s="6">
        <f t="shared" si="88"/>
        <v>0</v>
      </c>
      <c r="AM212" s="8"/>
      <c r="AN212" s="8">
        <f t="shared" si="89"/>
        <v>0</v>
      </c>
      <c r="AO212" s="8">
        <f t="shared" si="90"/>
        <v>0</v>
      </c>
      <c r="AP212" s="8">
        <f t="shared" si="100"/>
        <v>0</v>
      </c>
      <c r="AQ212" s="8">
        <f>IFERROR((AM212+AN212)*INDEX([1]Sheet1!$A$1:$A$13,MATCH((AM212+AN212),[1]Sheet1!$B$1:$B$13)),0)</f>
        <v>0</v>
      </c>
      <c r="AR212" s="6">
        <f t="shared" si="91"/>
        <v>0</v>
      </c>
      <c r="AS212" s="8"/>
      <c r="AT212" s="8">
        <f t="shared" si="92"/>
        <v>0</v>
      </c>
      <c r="AU212" s="8">
        <f t="shared" si="93"/>
        <v>0</v>
      </c>
      <c r="AV212" s="8">
        <f t="shared" si="101"/>
        <v>0</v>
      </c>
      <c r="AW212" s="8">
        <f>IFERROR((AS212+AT212)*INDEX([1]Sheet1!$A$1:$A$13,MATCH((AS212+AT212),[1]Sheet1!$B$1:$B$13)),0)</f>
        <v>0</v>
      </c>
      <c r="BC212" s="1" t="str">
        <f t="shared" si="94"/>
        <v/>
      </c>
    </row>
    <row r="213" spans="1:55" ht="18" customHeight="1" x14ac:dyDescent="0.2">
      <c r="A213" s="4"/>
      <c r="B213" s="6"/>
      <c r="C213" s="6"/>
      <c r="D213" s="6"/>
      <c r="E213" s="6"/>
      <c r="F213" s="4"/>
      <c r="G213" s="7"/>
      <c r="H213" s="6">
        <f t="shared" si="74"/>
        <v>0</v>
      </c>
      <c r="I213" s="8"/>
      <c r="J213" s="8"/>
      <c r="K213" s="8">
        <f t="shared" si="75"/>
        <v>0</v>
      </c>
      <c r="L213" s="8">
        <f t="shared" si="36"/>
        <v>0</v>
      </c>
      <c r="M213" s="8">
        <f>IFERROR((I213+J213)*INDEX([1]Sheet1!$A$1:$A$13,MATCH((I213+J213),[1]Sheet1!$B$1:$B$13)),0)</f>
        <v>0</v>
      </c>
      <c r="N213" s="6">
        <f t="shared" si="76"/>
        <v>0</v>
      </c>
      <c r="O213" s="8"/>
      <c r="P213" s="8">
        <f t="shared" si="77"/>
        <v>0</v>
      </c>
      <c r="Q213" s="8">
        <f t="shared" si="78"/>
        <v>0</v>
      </c>
      <c r="R213" s="8">
        <f t="shared" si="16"/>
        <v>0</v>
      </c>
      <c r="S213" s="8">
        <f>IFERROR((O213+P213)*INDEX([1]Sheet1!$A$1:$A$13,MATCH((O213+P213),[1]Sheet1!$B$1:$B$13)),0)</f>
        <v>0</v>
      </c>
      <c r="T213" s="6">
        <f t="shared" si="79"/>
        <v>0</v>
      </c>
      <c r="U213" s="8"/>
      <c r="V213" s="8">
        <f t="shared" si="80"/>
        <v>0</v>
      </c>
      <c r="W213" s="8">
        <f t="shared" si="81"/>
        <v>0</v>
      </c>
      <c r="X213" s="8">
        <f t="shared" si="20"/>
        <v>0</v>
      </c>
      <c r="Y213" s="8">
        <f>IFERROR((U213+V213)*INDEX([1]Sheet1!$A$1:$A$13,MATCH((U213+V213),[1]Sheet1!$B$1:$B$13)),0)</f>
        <v>0</v>
      </c>
      <c r="Z213" s="6">
        <f t="shared" si="82"/>
        <v>0</v>
      </c>
      <c r="AA213" s="8"/>
      <c r="AB213" s="8">
        <f t="shared" si="83"/>
        <v>0</v>
      </c>
      <c r="AC213" s="8">
        <f t="shared" si="84"/>
        <v>0</v>
      </c>
      <c r="AD213" s="8">
        <f t="shared" si="24"/>
        <v>0</v>
      </c>
      <c r="AE213" s="8">
        <f>IFERROR((AA213+AB213)*INDEX([1]Sheet1!$A$1:$A$13,MATCH((AA213+AB213),[1]Sheet1!$B$1:$B$13)),0)</f>
        <v>0</v>
      </c>
      <c r="AF213" s="6">
        <f t="shared" si="85"/>
        <v>0</v>
      </c>
      <c r="AG213" s="8"/>
      <c r="AH213" s="8">
        <f t="shared" si="86"/>
        <v>0</v>
      </c>
      <c r="AI213" s="8">
        <f t="shared" si="87"/>
        <v>0</v>
      </c>
      <c r="AJ213" s="8">
        <f t="shared" si="28"/>
        <v>0</v>
      </c>
      <c r="AK213" s="8">
        <f>IFERROR((AG213+AH213)*INDEX([1]Sheet1!$A$1:$A$13,MATCH((AG213+AH213),[1]Sheet1!$B$1:$B$13)),0)</f>
        <v>0</v>
      </c>
      <c r="AL213" s="6">
        <f t="shared" si="88"/>
        <v>0</v>
      </c>
      <c r="AM213" s="8"/>
      <c r="AN213" s="8">
        <f t="shared" si="89"/>
        <v>0</v>
      </c>
      <c r="AO213" s="8">
        <f t="shared" si="90"/>
        <v>0</v>
      </c>
      <c r="AP213" s="8">
        <f t="shared" si="100"/>
        <v>0</v>
      </c>
      <c r="AQ213" s="8">
        <f>IFERROR((AM213+AN213)*INDEX([1]Sheet1!$A$1:$A$13,MATCH((AM213+AN213),[1]Sheet1!$B$1:$B$13)),0)</f>
        <v>0</v>
      </c>
      <c r="AR213" s="6">
        <f t="shared" si="91"/>
        <v>0</v>
      </c>
      <c r="AS213" s="8"/>
      <c r="AT213" s="8">
        <f t="shared" si="92"/>
        <v>0</v>
      </c>
      <c r="AU213" s="8">
        <f t="shared" si="93"/>
        <v>0</v>
      </c>
      <c r="AV213" s="8">
        <f t="shared" si="101"/>
        <v>0</v>
      </c>
      <c r="AW213" s="8">
        <f>IFERROR((AS213+AT213)*INDEX([1]Sheet1!$A$1:$A$13,MATCH((AS213+AT213),[1]Sheet1!$B$1:$B$13)),0)</f>
        <v>0</v>
      </c>
      <c r="BC213" s="1" t="str">
        <f t="shared" si="94"/>
        <v/>
      </c>
    </row>
    <row r="214" spans="1:55" ht="18" customHeight="1" x14ac:dyDescent="0.2">
      <c r="A214" s="4"/>
      <c r="B214" s="6"/>
      <c r="C214" s="6"/>
      <c r="D214" s="6"/>
      <c r="E214" s="6"/>
      <c r="F214" s="4"/>
      <c r="G214" s="7"/>
      <c r="H214" s="6">
        <f t="shared" si="74"/>
        <v>0</v>
      </c>
      <c r="I214" s="8"/>
      <c r="J214" s="8"/>
      <c r="K214" s="8">
        <f t="shared" si="75"/>
        <v>0</v>
      </c>
      <c r="L214" s="8">
        <f t="shared" si="36"/>
        <v>0</v>
      </c>
      <c r="M214" s="8">
        <f>IFERROR((I214+J214)*INDEX([1]Sheet1!$A$1:$A$13,MATCH((I214+J214),[1]Sheet1!$B$1:$B$13)),0)</f>
        <v>0</v>
      </c>
      <c r="N214" s="6">
        <f t="shared" si="76"/>
        <v>0</v>
      </c>
      <c r="O214" s="8"/>
      <c r="P214" s="8">
        <f t="shared" si="77"/>
        <v>0</v>
      </c>
      <c r="Q214" s="8">
        <f t="shared" si="78"/>
        <v>0</v>
      </c>
      <c r="R214" s="8">
        <f t="shared" si="16"/>
        <v>0</v>
      </c>
      <c r="S214" s="8">
        <f>IFERROR((O214+P214)*INDEX([1]Sheet1!$A$1:$A$13,MATCH((O214+P214),[1]Sheet1!$B$1:$B$13)),0)</f>
        <v>0</v>
      </c>
      <c r="T214" s="6">
        <f t="shared" si="79"/>
        <v>0</v>
      </c>
      <c r="U214" s="8"/>
      <c r="V214" s="8">
        <f t="shared" si="80"/>
        <v>0</v>
      </c>
      <c r="W214" s="8">
        <f t="shared" si="81"/>
        <v>0</v>
      </c>
      <c r="X214" s="8">
        <f t="shared" si="20"/>
        <v>0</v>
      </c>
      <c r="Y214" s="8">
        <f>IFERROR((U214+V214)*INDEX([1]Sheet1!$A$1:$A$13,MATCH((U214+V214),[1]Sheet1!$B$1:$B$13)),0)</f>
        <v>0</v>
      </c>
      <c r="Z214" s="6">
        <f t="shared" si="82"/>
        <v>0</v>
      </c>
      <c r="AA214" s="8"/>
      <c r="AB214" s="8">
        <f t="shared" si="83"/>
        <v>0</v>
      </c>
      <c r="AC214" s="8">
        <f t="shared" si="84"/>
        <v>0</v>
      </c>
      <c r="AD214" s="8">
        <f t="shared" si="24"/>
        <v>0</v>
      </c>
      <c r="AE214" s="8">
        <f>IFERROR((AA214+AB214)*INDEX([1]Sheet1!$A$1:$A$13,MATCH((AA214+AB214),[1]Sheet1!$B$1:$B$13)),0)</f>
        <v>0</v>
      </c>
      <c r="AF214" s="6">
        <f t="shared" si="85"/>
        <v>0</v>
      </c>
      <c r="AG214" s="8"/>
      <c r="AH214" s="8">
        <f t="shared" si="86"/>
        <v>0</v>
      </c>
      <c r="AI214" s="8">
        <f t="shared" si="87"/>
        <v>0</v>
      </c>
      <c r="AJ214" s="8">
        <f t="shared" si="28"/>
        <v>0</v>
      </c>
      <c r="AK214" s="8">
        <f>IFERROR((AG214+AH214)*INDEX([1]Sheet1!$A$1:$A$13,MATCH((AG214+AH214),[1]Sheet1!$B$1:$B$13)),0)</f>
        <v>0</v>
      </c>
      <c r="AL214" s="6">
        <f t="shared" si="88"/>
        <v>0</v>
      </c>
      <c r="AM214" s="8"/>
      <c r="AN214" s="8">
        <f t="shared" si="89"/>
        <v>0</v>
      </c>
      <c r="AO214" s="8">
        <f t="shared" si="90"/>
        <v>0</v>
      </c>
      <c r="AP214" s="8">
        <f t="shared" si="100"/>
        <v>0</v>
      </c>
      <c r="AQ214" s="8">
        <f>IFERROR((AM214+AN214)*INDEX([1]Sheet1!$A$1:$A$13,MATCH((AM214+AN214),[1]Sheet1!$B$1:$B$13)),0)</f>
        <v>0</v>
      </c>
      <c r="AR214" s="6">
        <f t="shared" si="91"/>
        <v>0</v>
      </c>
      <c r="AS214" s="8"/>
      <c r="AT214" s="8">
        <f t="shared" si="92"/>
        <v>0</v>
      </c>
      <c r="AU214" s="8">
        <f t="shared" si="93"/>
        <v>0</v>
      </c>
      <c r="AV214" s="8">
        <f t="shared" si="101"/>
        <v>0</v>
      </c>
      <c r="AW214" s="8">
        <f>IFERROR((AS214+AT214)*INDEX([1]Sheet1!$A$1:$A$13,MATCH((AS214+AT214),[1]Sheet1!$B$1:$B$13)),0)</f>
        <v>0</v>
      </c>
      <c r="BC214" s="1" t="str">
        <f t="shared" si="94"/>
        <v/>
      </c>
    </row>
    <row r="215" spans="1:55" ht="18" customHeight="1" x14ac:dyDescent="0.2">
      <c r="A215" s="4"/>
      <c r="B215" s="6"/>
      <c r="C215" s="6"/>
      <c r="D215" s="6"/>
      <c r="E215" s="6"/>
      <c r="F215" s="4"/>
      <c r="G215" s="7"/>
      <c r="H215" s="6">
        <f t="shared" si="74"/>
        <v>0</v>
      </c>
      <c r="I215" s="8"/>
      <c r="J215" s="8"/>
      <c r="K215" s="8">
        <f t="shared" si="75"/>
        <v>0</v>
      </c>
      <c r="L215" s="8">
        <f t="shared" si="36"/>
        <v>0</v>
      </c>
      <c r="M215" s="8">
        <f>IFERROR((I215+J215)*INDEX([1]Sheet1!$A$1:$A$13,MATCH((I215+J215),[1]Sheet1!$B$1:$B$13)),0)</f>
        <v>0</v>
      </c>
      <c r="N215" s="6">
        <f t="shared" si="76"/>
        <v>0</v>
      </c>
      <c r="O215" s="8"/>
      <c r="P215" s="8">
        <f t="shared" si="77"/>
        <v>0</v>
      </c>
      <c r="Q215" s="8">
        <f t="shared" si="78"/>
        <v>0</v>
      </c>
      <c r="R215" s="8">
        <f t="shared" si="16"/>
        <v>0</v>
      </c>
      <c r="S215" s="8">
        <f>IFERROR((O215+P215)*INDEX([1]Sheet1!$A$1:$A$13,MATCH((O215+P215),[1]Sheet1!$B$1:$B$13)),0)</f>
        <v>0</v>
      </c>
      <c r="T215" s="6">
        <f t="shared" si="79"/>
        <v>0</v>
      </c>
      <c r="U215" s="8"/>
      <c r="V215" s="8">
        <f t="shared" si="80"/>
        <v>0</v>
      </c>
      <c r="W215" s="8">
        <f t="shared" si="81"/>
        <v>0</v>
      </c>
      <c r="X215" s="8">
        <f t="shared" si="20"/>
        <v>0</v>
      </c>
      <c r="Y215" s="8">
        <f>IFERROR((U215+V215)*INDEX([1]Sheet1!$A$1:$A$13,MATCH((U215+V215),[1]Sheet1!$B$1:$B$13)),0)</f>
        <v>0</v>
      </c>
      <c r="Z215" s="6">
        <f t="shared" si="82"/>
        <v>0</v>
      </c>
      <c r="AA215" s="8"/>
      <c r="AB215" s="8">
        <f t="shared" si="83"/>
        <v>0</v>
      </c>
      <c r="AC215" s="8">
        <f t="shared" si="84"/>
        <v>0</v>
      </c>
      <c r="AD215" s="8">
        <f t="shared" si="24"/>
        <v>0</v>
      </c>
      <c r="AE215" s="8">
        <f>IFERROR((AA215+AB215)*INDEX([1]Sheet1!$A$1:$A$13,MATCH((AA215+AB215),[1]Sheet1!$B$1:$B$13)),0)</f>
        <v>0</v>
      </c>
      <c r="AF215" s="6">
        <f t="shared" si="85"/>
        <v>0</v>
      </c>
      <c r="AG215" s="8"/>
      <c r="AH215" s="8">
        <f t="shared" si="86"/>
        <v>0</v>
      </c>
      <c r="AI215" s="8">
        <f t="shared" si="87"/>
        <v>0</v>
      </c>
      <c r="AJ215" s="8">
        <f t="shared" si="28"/>
        <v>0</v>
      </c>
      <c r="AK215" s="8">
        <f>IFERROR((AG215+AH215)*INDEX([1]Sheet1!$A$1:$A$13,MATCH((AG215+AH215),[1]Sheet1!$B$1:$B$13)),0)</f>
        <v>0</v>
      </c>
      <c r="AL215" s="6">
        <f t="shared" si="88"/>
        <v>0</v>
      </c>
      <c r="AM215" s="8"/>
      <c r="AN215" s="8">
        <f t="shared" si="89"/>
        <v>0</v>
      </c>
      <c r="AO215" s="8">
        <f t="shared" si="90"/>
        <v>0</v>
      </c>
      <c r="AP215" s="8">
        <f t="shared" si="100"/>
        <v>0</v>
      </c>
      <c r="AQ215" s="8">
        <f>IFERROR((AM215+AN215)*INDEX([1]Sheet1!$A$1:$A$13,MATCH((AM215+AN215),[1]Sheet1!$B$1:$B$13)),0)</f>
        <v>0</v>
      </c>
      <c r="AR215" s="6">
        <f t="shared" si="91"/>
        <v>0</v>
      </c>
      <c r="AS215" s="8"/>
      <c r="AT215" s="8">
        <f t="shared" si="92"/>
        <v>0</v>
      </c>
      <c r="AU215" s="8">
        <f t="shared" si="93"/>
        <v>0</v>
      </c>
      <c r="AV215" s="8">
        <f t="shared" si="101"/>
        <v>0</v>
      </c>
      <c r="AW215" s="8">
        <f>IFERROR((AS215+AT215)*INDEX([1]Sheet1!$A$1:$A$13,MATCH((AS215+AT215),[1]Sheet1!$B$1:$B$13)),0)</f>
        <v>0</v>
      </c>
      <c r="BC215" s="1" t="str">
        <f t="shared" si="94"/>
        <v/>
      </c>
    </row>
    <row r="216" spans="1:55" ht="18" customHeight="1" x14ac:dyDescent="0.2">
      <c r="A216" s="4"/>
      <c r="B216" s="9"/>
      <c r="C216" s="6"/>
      <c r="D216" s="6"/>
      <c r="E216" s="6"/>
      <c r="F216" s="4"/>
      <c r="G216" s="7"/>
      <c r="H216" s="6">
        <f t="shared" si="74"/>
        <v>0</v>
      </c>
      <c r="I216" s="8"/>
      <c r="J216" s="8"/>
      <c r="K216" s="8">
        <f t="shared" si="75"/>
        <v>0</v>
      </c>
      <c r="L216" s="8">
        <f t="shared" si="36"/>
        <v>0</v>
      </c>
      <c r="M216" s="8">
        <f>IFERROR((I216+J216)*INDEX([1]Sheet1!$A$1:$A$13,MATCH((I216+J216),[1]Sheet1!$B$1:$B$13)),0)</f>
        <v>0</v>
      </c>
      <c r="N216" s="6">
        <f t="shared" si="76"/>
        <v>0</v>
      </c>
      <c r="O216" s="8"/>
      <c r="P216" s="8">
        <f t="shared" si="77"/>
        <v>0</v>
      </c>
      <c r="Q216" s="8">
        <f t="shared" si="78"/>
        <v>0</v>
      </c>
      <c r="R216" s="8">
        <f t="shared" si="16"/>
        <v>0</v>
      </c>
      <c r="S216" s="8">
        <f>IFERROR((O216+P216)*INDEX([1]Sheet1!$A$1:$A$13,MATCH((O216+P216),[1]Sheet1!$B$1:$B$13)),0)</f>
        <v>0</v>
      </c>
      <c r="T216" s="6">
        <f t="shared" si="79"/>
        <v>0</v>
      </c>
      <c r="U216" s="8"/>
      <c r="V216" s="8">
        <f t="shared" si="80"/>
        <v>0</v>
      </c>
      <c r="W216" s="8">
        <f t="shared" si="81"/>
        <v>0</v>
      </c>
      <c r="X216" s="8">
        <f t="shared" si="20"/>
        <v>0</v>
      </c>
      <c r="Y216" s="8">
        <f>IFERROR((U216+V216)*INDEX([1]Sheet1!$A$1:$A$13,MATCH((U216+V216),[1]Sheet1!$B$1:$B$13)),0)</f>
        <v>0</v>
      </c>
      <c r="Z216" s="6">
        <f t="shared" si="82"/>
        <v>0</v>
      </c>
      <c r="AA216" s="8"/>
      <c r="AB216" s="8">
        <f t="shared" si="83"/>
        <v>0</v>
      </c>
      <c r="AC216" s="8">
        <f t="shared" si="84"/>
        <v>0</v>
      </c>
      <c r="AD216" s="8">
        <f t="shared" si="24"/>
        <v>0</v>
      </c>
      <c r="AE216" s="8">
        <f>IFERROR((AA216+AB216)*INDEX([1]Sheet1!$A$1:$A$13,MATCH((AA216+AB216),[1]Sheet1!$B$1:$B$13)),0)</f>
        <v>0</v>
      </c>
      <c r="AF216" s="6">
        <f t="shared" si="85"/>
        <v>0</v>
      </c>
      <c r="AG216" s="8"/>
      <c r="AH216" s="8">
        <f t="shared" si="86"/>
        <v>0</v>
      </c>
      <c r="AI216" s="8">
        <f t="shared" si="87"/>
        <v>0</v>
      </c>
      <c r="AJ216" s="8">
        <f t="shared" si="28"/>
        <v>0</v>
      </c>
      <c r="AK216" s="8">
        <f>IFERROR((AG216+AH216)*INDEX([1]Sheet1!$A$1:$A$13,MATCH((AG216+AH216),[1]Sheet1!$B$1:$B$13)),0)</f>
        <v>0</v>
      </c>
      <c r="AL216" s="6">
        <f t="shared" si="88"/>
        <v>0</v>
      </c>
      <c r="AM216" s="8"/>
      <c r="AN216" s="8">
        <f t="shared" si="89"/>
        <v>0</v>
      </c>
      <c r="AO216" s="8">
        <f t="shared" si="90"/>
        <v>0</v>
      </c>
      <c r="AP216" s="8">
        <f t="shared" si="100"/>
        <v>0</v>
      </c>
      <c r="AQ216" s="8">
        <f>IFERROR((AM216+AN216)*INDEX([1]Sheet1!$A$1:$A$13,MATCH((AM216+AN216),[1]Sheet1!$B$1:$B$13)),0)</f>
        <v>0</v>
      </c>
      <c r="AR216" s="6">
        <f t="shared" si="91"/>
        <v>0</v>
      </c>
      <c r="AS216" s="8"/>
      <c r="AT216" s="8">
        <f t="shared" si="92"/>
        <v>0</v>
      </c>
      <c r="AU216" s="8">
        <f t="shared" si="93"/>
        <v>0</v>
      </c>
      <c r="AV216" s="8">
        <f t="shared" si="101"/>
        <v>0</v>
      </c>
      <c r="AW216" s="8">
        <f>IFERROR((AS216+AT216)*INDEX([1]Sheet1!$A$1:$A$13,MATCH((AS216+AT216),[1]Sheet1!$B$1:$B$13)),0)</f>
        <v>0</v>
      </c>
      <c r="BC216" s="1" t="str">
        <f t="shared" si="94"/>
        <v/>
      </c>
    </row>
    <row r="217" spans="1:55" ht="18" customHeight="1" x14ac:dyDescent="0.2">
      <c r="A217" s="4"/>
      <c r="B217" s="6"/>
      <c r="C217" s="6"/>
      <c r="D217" s="6"/>
      <c r="E217" s="6"/>
      <c r="F217" s="4"/>
      <c r="G217" s="7"/>
      <c r="H217" s="6">
        <f t="shared" ref="H217:H220" si="102">$H$23*$E217</f>
        <v>0</v>
      </c>
      <c r="I217" s="8"/>
      <c r="J217" s="8"/>
      <c r="K217" s="8">
        <f t="shared" ref="K217:K220" si="103">(I217+J217)*$E217</f>
        <v>0</v>
      </c>
      <c r="L217" s="8">
        <f t="shared" ref="L217:L220" si="104">IF(K217&gt;0,IF(K217*$H$23&lt;2.5,2.5/$H$23,K217),0)</f>
        <v>0</v>
      </c>
      <c r="M217" s="8">
        <f>IFERROR((I217+J217)*INDEX([1]Sheet1!$A$1:$A$13,MATCH((I217+J217),[1]Sheet1!$B$1:$B$13)),0)</f>
        <v>0</v>
      </c>
      <c r="N217" s="6">
        <f t="shared" ref="N217:N220" si="105">$N$23*$E217</f>
        <v>0</v>
      </c>
      <c r="O217" s="8"/>
      <c r="P217" s="8">
        <f t="shared" ref="P217:P220" si="106">IFERROR(($J217/$I217)*O217,0)</f>
        <v>0</v>
      </c>
      <c r="Q217" s="8">
        <f t="shared" ref="Q217:Q220" si="107">(O217+P217)*$E217</f>
        <v>0</v>
      </c>
      <c r="R217" s="8">
        <f t="shared" ref="R217:R220" si="108">IF(Q217&gt;0,IF(Q217*$N$23&lt;2.5,2.5/$N$23,Q217),0)</f>
        <v>0</v>
      </c>
      <c r="S217" s="8">
        <f>IFERROR((O217+P217)*INDEX([1]Sheet1!$A$1:$A$13,MATCH((O217+P217),[1]Sheet1!$B$1:$B$13)),0)</f>
        <v>0</v>
      </c>
      <c r="T217" s="6">
        <f t="shared" ref="T217:T220" si="109">$T$23*$E217</f>
        <v>0</v>
      </c>
      <c r="U217" s="8"/>
      <c r="V217" s="8">
        <f t="shared" ref="V217:V220" si="110">IFERROR(($J217/$I217)*U217,0)</f>
        <v>0</v>
      </c>
      <c r="W217" s="8">
        <f t="shared" ref="W217:W220" si="111">(U217+V217)*$E217</f>
        <v>0</v>
      </c>
      <c r="X217" s="8">
        <f t="shared" ref="X217:X220" si="112">IF(W217&gt;0,IF(W217*$T$23&lt;2.5,2.5/$T$23,W217),0)</f>
        <v>0</v>
      </c>
      <c r="Y217" s="8">
        <f>IFERROR((U217+V217)*INDEX([1]Sheet1!$A$1:$A$13,MATCH((U217+V217),[1]Sheet1!$B$1:$B$13)),0)</f>
        <v>0</v>
      </c>
      <c r="Z217" s="6">
        <f t="shared" ref="Z217:Z220" si="113">$Z$23*$E217</f>
        <v>0</v>
      </c>
      <c r="AA217" s="8"/>
      <c r="AB217" s="8">
        <f t="shared" ref="AB217:AB220" si="114">IFERROR(($J217/$I217)*AA217,0)</f>
        <v>0</v>
      </c>
      <c r="AC217" s="8">
        <f t="shared" ref="AC217:AC220" si="115">(AA217+AB217)*$E217</f>
        <v>0</v>
      </c>
      <c r="AD217" s="8">
        <f t="shared" ref="AD217:AD220" si="116">IF(AC217&gt;0,IF(AC217*$Z$23&lt;2.5,2.5/$Z$23,AC217),0)</f>
        <v>0</v>
      </c>
      <c r="AE217" s="8">
        <f>IFERROR((AA217+AB217)*INDEX([1]Sheet1!$A$1:$A$13,MATCH((AA217+AB217),[1]Sheet1!$B$1:$B$13)),0)</f>
        <v>0</v>
      </c>
      <c r="AF217" s="6">
        <f t="shared" ref="AF217:AF220" si="117">$AF$23*$E217</f>
        <v>0</v>
      </c>
      <c r="AG217" s="8"/>
      <c r="AH217" s="8">
        <f t="shared" ref="AH217:AH220" si="118">IFERROR(($J217/$I217)*AG217,0)</f>
        <v>0</v>
      </c>
      <c r="AI217" s="8">
        <f t="shared" ref="AI217:AI220" si="119">(AG217+AH217)*$E217</f>
        <v>0</v>
      </c>
      <c r="AJ217" s="8">
        <f t="shared" ref="AJ217:AJ220" si="120">IF(AI217&gt;0,IF(AI217*$AF$23&lt;2.5,2.5/$AF$23,AI217),0)</f>
        <v>0</v>
      </c>
      <c r="AK217" s="8">
        <f>IFERROR((AG217+AH217)*INDEX([1]Sheet1!$A$1:$A$13,MATCH((AG217+AH217),[1]Sheet1!$B$1:$B$13)),0)</f>
        <v>0</v>
      </c>
      <c r="AL217" s="6">
        <f t="shared" ref="AL217:AL220" si="121">$AL$23*$E217</f>
        <v>0</v>
      </c>
      <c r="AM217" s="8"/>
      <c r="AN217" s="8">
        <f t="shared" ref="AN217:AN220" si="122">IFERROR(($J217/$I217)*AM217,0)</f>
        <v>0</v>
      </c>
      <c r="AO217" s="8">
        <f t="shared" ref="AO217:AO220" si="123">(AM217+AN217)*$E217</f>
        <v>0</v>
      </c>
      <c r="AP217" s="8">
        <f t="shared" si="100"/>
        <v>0</v>
      </c>
      <c r="AQ217" s="8">
        <f>IFERROR((AM217+AN217)*INDEX([1]Sheet1!$A$1:$A$13,MATCH((AM217+AN217),[1]Sheet1!$B$1:$B$13)),0)</f>
        <v>0</v>
      </c>
      <c r="AR217" s="6">
        <f t="shared" ref="AR217:AR220" si="124">$AR$23*$E217</f>
        <v>0</v>
      </c>
      <c r="AS217" s="8"/>
      <c r="AT217" s="8">
        <f t="shared" ref="AT217:AT220" si="125">IFERROR(($J217/$I217)*AS217,0)</f>
        <v>0</v>
      </c>
      <c r="AU217" s="8">
        <f t="shared" ref="AU217:AU220" si="126">(AS217+AT217)*$E217</f>
        <v>0</v>
      </c>
      <c r="AV217" s="8">
        <f t="shared" si="101"/>
        <v>0</v>
      </c>
      <c r="AW217" s="8">
        <f>IFERROR((AS217+AT217)*INDEX([1]Sheet1!$A$1:$A$13,MATCH((AS217+AT217),[1]Sheet1!$B$1:$B$13)),0)</f>
        <v>0</v>
      </c>
      <c r="BC217" s="1" t="str">
        <f t="shared" ref="BC217:BC220" si="127">IF(E217&gt;0,(IF(I217&gt;0,"","ERROR")),"")</f>
        <v/>
      </c>
    </row>
    <row r="218" spans="1:55" ht="18" customHeight="1" x14ac:dyDescent="0.2">
      <c r="A218" s="4"/>
      <c r="B218" s="9"/>
      <c r="C218" s="6"/>
      <c r="D218" s="6"/>
      <c r="E218" s="6"/>
      <c r="F218" s="4"/>
      <c r="G218" s="7"/>
      <c r="H218" s="6">
        <f t="shared" si="102"/>
        <v>0</v>
      </c>
      <c r="I218" s="8"/>
      <c r="J218" s="8"/>
      <c r="K218" s="8">
        <f t="shared" si="103"/>
        <v>0</v>
      </c>
      <c r="L218" s="8">
        <f t="shared" si="104"/>
        <v>0</v>
      </c>
      <c r="M218" s="8">
        <f>IFERROR((I218+J218)*INDEX([1]Sheet1!$A$1:$A$13,MATCH((I218+J218),[1]Sheet1!$B$1:$B$13)),0)</f>
        <v>0</v>
      </c>
      <c r="N218" s="6">
        <f t="shared" si="105"/>
        <v>0</v>
      </c>
      <c r="O218" s="8"/>
      <c r="P218" s="8">
        <f t="shared" si="106"/>
        <v>0</v>
      </c>
      <c r="Q218" s="8">
        <f t="shared" si="107"/>
        <v>0</v>
      </c>
      <c r="R218" s="8">
        <f t="shared" si="108"/>
        <v>0</v>
      </c>
      <c r="S218" s="8">
        <f>IFERROR((O218+P218)*INDEX([1]Sheet1!$A$1:$A$13,MATCH((O218+P218),[1]Sheet1!$B$1:$B$13)),0)</f>
        <v>0</v>
      </c>
      <c r="T218" s="6">
        <f t="shared" si="109"/>
        <v>0</v>
      </c>
      <c r="U218" s="8"/>
      <c r="V218" s="8">
        <f t="shared" si="110"/>
        <v>0</v>
      </c>
      <c r="W218" s="8">
        <f t="shared" si="111"/>
        <v>0</v>
      </c>
      <c r="X218" s="8">
        <f t="shared" si="112"/>
        <v>0</v>
      </c>
      <c r="Y218" s="8">
        <f>IFERROR((U218+V218)*INDEX([1]Sheet1!$A$1:$A$13,MATCH((U218+V218),[1]Sheet1!$B$1:$B$13)),0)</f>
        <v>0</v>
      </c>
      <c r="Z218" s="6">
        <f t="shared" si="113"/>
        <v>0</v>
      </c>
      <c r="AA218" s="8"/>
      <c r="AB218" s="8">
        <f t="shared" si="114"/>
        <v>0</v>
      </c>
      <c r="AC218" s="8">
        <f t="shared" si="115"/>
        <v>0</v>
      </c>
      <c r="AD218" s="8">
        <f t="shared" si="116"/>
        <v>0</v>
      </c>
      <c r="AE218" s="8">
        <f>IFERROR((AA218+AB218)*INDEX([1]Sheet1!$A$1:$A$13,MATCH((AA218+AB218),[1]Sheet1!$B$1:$B$13)),0)</f>
        <v>0</v>
      </c>
      <c r="AF218" s="6">
        <f t="shared" si="117"/>
        <v>0</v>
      </c>
      <c r="AG218" s="8"/>
      <c r="AH218" s="8">
        <f t="shared" si="118"/>
        <v>0</v>
      </c>
      <c r="AI218" s="8">
        <f t="shared" si="119"/>
        <v>0</v>
      </c>
      <c r="AJ218" s="8">
        <f t="shared" si="120"/>
        <v>0</v>
      </c>
      <c r="AK218" s="8">
        <f>IFERROR((AG218+AH218)*INDEX([1]Sheet1!$A$1:$A$13,MATCH((AG218+AH218),[1]Sheet1!$B$1:$B$13)),0)</f>
        <v>0</v>
      </c>
      <c r="AL218" s="6">
        <f t="shared" si="121"/>
        <v>0</v>
      </c>
      <c r="AM218" s="8"/>
      <c r="AN218" s="8">
        <f t="shared" si="122"/>
        <v>0</v>
      </c>
      <c r="AO218" s="8">
        <f t="shared" si="123"/>
        <v>0</v>
      </c>
      <c r="AP218" s="8">
        <f t="shared" si="100"/>
        <v>0</v>
      </c>
      <c r="AQ218" s="8">
        <f>IFERROR((AM218+AN218)*INDEX([1]Sheet1!$A$1:$A$13,MATCH((AM218+AN218),[1]Sheet1!$B$1:$B$13)),0)</f>
        <v>0</v>
      </c>
      <c r="AR218" s="6">
        <f t="shared" si="124"/>
        <v>0</v>
      </c>
      <c r="AS218" s="8"/>
      <c r="AT218" s="8">
        <f t="shared" si="125"/>
        <v>0</v>
      </c>
      <c r="AU218" s="8">
        <f t="shared" si="126"/>
        <v>0</v>
      </c>
      <c r="AV218" s="8">
        <f t="shared" si="101"/>
        <v>0</v>
      </c>
      <c r="AW218" s="8">
        <f>IFERROR((AS218+AT218)*INDEX([1]Sheet1!$A$1:$A$13,MATCH((AS218+AT218),[1]Sheet1!$B$1:$B$13)),0)</f>
        <v>0</v>
      </c>
      <c r="BC218" s="1" t="str">
        <f t="shared" si="127"/>
        <v/>
      </c>
    </row>
    <row r="219" spans="1:55" ht="18" customHeight="1" x14ac:dyDescent="0.2">
      <c r="A219" s="4"/>
      <c r="B219" s="6"/>
      <c r="C219" s="6"/>
      <c r="D219" s="6"/>
      <c r="E219" s="6"/>
      <c r="F219" s="4"/>
      <c r="G219" s="7"/>
      <c r="H219" s="6">
        <f t="shared" si="102"/>
        <v>0</v>
      </c>
      <c r="I219" s="8"/>
      <c r="J219" s="8"/>
      <c r="K219" s="8">
        <f t="shared" si="103"/>
        <v>0</v>
      </c>
      <c r="L219" s="8">
        <f t="shared" si="104"/>
        <v>0</v>
      </c>
      <c r="M219" s="8">
        <f>IFERROR((I219+J219)*INDEX([1]Sheet1!$A$1:$A$13,MATCH((I219+J219),[1]Sheet1!$B$1:$B$13)),0)</f>
        <v>0</v>
      </c>
      <c r="N219" s="6">
        <f t="shared" si="105"/>
        <v>0</v>
      </c>
      <c r="O219" s="8"/>
      <c r="P219" s="8">
        <f t="shared" si="106"/>
        <v>0</v>
      </c>
      <c r="Q219" s="8">
        <f t="shared" si="107"/>
        <v>0</v>
      </c>
      <c r="R219" s="8">
        <f t="shared" si="108"/>
        <v>0</v>
      </c>
      <c r="S219" s="8">
        <f>IFERROR((O219+P219)*INDEX([1]Sheet1!$A$1:$A$13,MATCH((O219+P219),[1]Sheet1!$B$1:$B$13)),0)</f>
        <v>0</v>
      </c>
      <c r="T219" s="6">
        <f t="shared" si="109"/>
        <v>0</v>
      </c>
      <c r="U219" s="8"/>
      <c r="V219" s="8">
        <f t="shared" si="110"/>
        <v>0</v>
      </c>
      <c r="W219" s="8">
        <f t="shared" si="111"/>
        <v>0</v>
      </c>
      <c r="X219" s="8">
        <f t="shared" si="112"/>
        <v>0</v>
      </c>
      <c r="Y219" s="8">
        <f>IFERROR((U219+V219)*INDEX([1]Sheet1!$A$1:$A$13,MATCH((U219+V219),[1]Sheet1!$B$1:$B$13)),0)</f>
        <v>0</v>
      </c>
      <c r="Z219" s="6">
        <f t="shared" si="113"/>
        <v>0</v>
      </c>
      <c r="AA219" s="8"/>
      <c r="AB219" s="8">
        <f t="shared" si="114"/>
        <v>0</v>
      </c>
      <c r="AC219" s="8">
        <f t="shared" si="115"/>
        <v>0</v>
      </c>
      <c r="AD219" s="8">
        <f t="shared" si="116"/>
        <v>0</v>
      </c>
      <c r="AE219" s="8">
        <f>IFERROR((AA219+AB219)*INDEX([1]Sheet1!$A$1:$A$13,MATCH((AA219+AB219),[1]Sheet1!$B$1:$B$13)),0)</f>
        <v>0</v>
      </c>
      <c r="AF219" s="6">
        <f t="shared" si="117"/>
        <v>0</v>
      </c>
      <c r="AG219" s="8"/>
      <c r="AH219" s="8">
        <f t="shared" si="118"/>
        <v>0</v>
      </c>
      <c r="AI219" s="8">
        <f t="shared" si="119"/>
        <v>0</v>
      </c>
      <c r="AJ219" s="8">
        <f t="shared" si="120"/>
        <v>0</v>
      </c>
      <c r="AK219" s="8">
        <f>IFERROR((AG219+AH219)*INDEX([1]Sheet1!$A$1:$A$13,MATCH((AG219+AH219),[1]Sheet1!$B$1:$B$13)),0)</f>
        <v>0</v>
      </c>
      <c r="AL219" s="6">
        <f t="shared" si="121"/>
        <v>0</v>
      </c>
      <c r="AM219" s="8"/>
      <c r="AN219" s="8">
        <f t="shared" si="122"/>
        <v>0</v>
      </c>
      <c r="AO219" s="8">
        <f t="shared" si="123"/>
        <v>0</v>
      </c>
      <c r="AP219" s="8">
        <f t="shared" si="100"/>
        <v>0</v>
      </c>
      <c r="AQ219" s="8">
        <f>IFERROR((AM219+AN219)*INDEX([1]Sheet1!$A$1:$A$13,MATCH((AM219+AN219),[1]Sheet1!$B$1:$B$13)),0)</f>
        <v>0</v>
      </c>
      <c r="AR219" s="6">
        <f t="shared" si="124"/>
        <v>0</v>
      </c>
      <c r="AS219" s="8"/>
      <c r="AT219" s="8">
        <f t="shared" si="125"/>
        <v>0</v>
      </c>
      <c r="AU219" s="8">
        <f t="shared" si="126"/>
        <v>0</v>
      </c>
      <c r="AV219" s="8">
        <f t="shared" si="101"/>
        <v>0</v>
      </c>
      <c r="AW219" s="8">
        <f>IFERROR((AS219+AT219)*INDEX([1]Sheet1!$A$1:$A$13,MATCH((AS219+AT219),[1]Sheet1!$B$1:$B$13)),0)</f>
        <v>0</v>
      </c>
      <c r="BC219" s="1" t="str">
        <f t="shared" si="127"/>
        <v/>
      </c>
    </row>
    <row r="220" spans="1:55" ht="18" customHeight="1" x14ac:dyDescent="0.2">
      <c r="A220" s="4"/>
      <c r="B220" s="6"/>
      <c r="C220" s="6"/>
      <c r="D220" s="6"/>
      <c r="E220" s="6"/>
      <c r="F220" s="4"/>
      <c r="G220" s="7"/>
      <c r="H220" s="6">
        <f t="shared" si="102"/>
        <v>0</v>
      </c>
      <c r="I220" s="8"/>
      <c r="J220" s="8"/>
      <c r="K220" s="8">
        <f t="shared" si="103"/>
        <v>0</v>
      </c>
      <c r="L220" s="8">
        <f t="shared" si="104"/>
        <v>0</v>
      </c>
      <c r="M220" s="8">
        <f>IFERROR((I220+J220)*INDEX([1]Sheet1!$A$1:$A$13,MATCH((I220+J220),[1]Sheet1!$B$1:$B$13)),0)</f>
        <v>0</v>
      </c>
      <c r="N220" s="6">
        <f t="shared" si="105"/>
        <v>0</v>
      </c>
      <c r="O220" s="8"/>
      <c r="P220" s="8">
        <f t="shared" si="106"/>
        <v>0</v>
      </c>
      <c r="Q220" s="8">
        <f t="shared" si="107"/>
        <v>0</v>
      </c>
      <c r="R220" s="8">
        <f t="shared" si="108"/>
        <v>0</v>
      </c>
      <c r="S220" s="8">
        <f>IFERROR((O220+P220)*INDEX([1]Sheet1!$A$1:$A$13,MATCH((O220+P220),[1]Sheet1!$B$1:$B$13)),0)</f>
        <v>0</v>
      </c>
      <c r="T220" s="6">
        <f t="shared" si="109"/>
        <v>0</v>
      </c>
      <c r="U220" s="8"/>
      <c r="V220" s="8">
        <f t="shared" si="110"/>
        <v>0</v>
      </c>
      <c r="W220" s="8">
        <f t="shared" si="111"/>
        <v>0</v>
      </c>
      <c r="X220" s="8">
        <f t="shared" si="112"/>
        <v>0</v>
      </c>
      <c r="Y220" s="8">
        <f>IFERROR((U220+V220)*INDEX([1]Sheet1!$A$1:$A$13,MATCH((U220+V220),[1]Sheet1!$B$1:$B$13)),0)</f>
        <v>0</v>
      </c>
      <c r="Z220" s="6">
        <f t="shared" si="113"/>
        <v>0</v>
      </c>
      <c r="AA220" s="8"/>
      <c r="AB220" s="8">
        <f t="shared" si="114"/>
        <v>0</v>
      </c>
      <c r="AC220" s="8">
        <f t="shared" si="115"/>
        <v>0</v>
      </c>
      <c r="AD220" s="8">
        <f t="shared" si="116"/>
        <v>0</v>
      </c>
      <c r="AE220" s="8">
        <f>IFERROR((AA220+AB220)*INDEX([1]Sheet1!$A$1:$A$13,MATCH((AA220+AB220),[1]Sheet1!$B$1:$B$13)),0)</f>
        <v>0</v>
      </c>
      <c r="AF220" s="6">
        <f t="shared" si="117"/>
        <v>0</v>
      </c>
      <c r="AG220" s="8"/>
      <c r="AH220" s="8">
        <f t="shared" si="118"/>
        <v>0</v>
      </c>
      <c r="AI220" s="8">
        <f t="shared" si="119"/>
        <v>0</v>
      </c>
      <c r="AJ220" s="8">
        <f t="shared" si="120"/>
        <v>0</v>
      </c>
      <c r="AK220" s="8">
        <f>IFERROR((AG220+AH220)*INDEX([1]Sheet1!$A$1:$A$13,MATCH((AG220+AH220),[1]Sheet1!$B$1:$B$13)),0)</f>
        <v>0</v>
      </c>
      <c r="AL220" s="6">
        <f t="shared" si="121"/>
        <v>0</v>
      </c>
      <c r="AM220" s="8"/>
      <c r="AN220" s="8">
        <f t="shared" si="122"/>
        <v>0</v>
      </c>
      <c r="AO220" s="8">
        <f t="shared" si="123"/>
        <v>0</v>
      </c>
      <c r="AP220" s="8">
        <f t="shared" si="100"/>
        <v>0</v>
      </c>
      <c r="AQ220" s="8">
        <f>IFERROR((AM220+AN220)*INDEX([1]Sheet1!$A$1:$A$13,MATCH((AM220+AN220),[1]Sheet1!$B$1:$B$13)),0)</f>
        <v>0</v>
      </c>
      <c r="AR220" s="6">
        <f t="shared" si="124"/>
        <v>0</v>
      </c>
      <c r="AS220" s="8"/>
      <c r="AT220" s="8">
        <f t="shared" si="125"/>
        <v>0</v>
      </c>
      <c r="AU220" s="8">
        <f t="shared" si="126"/>
        <v>0</v>
      </c>
      <c r="AV220" s="8">
        <f t="shared" si="101"/>
        <v>0</v>
      </c>
      <c r="AW220" s="8">
        <f>IFERROR((AS220+AT220)*INDEX([1]Sheet1!$A$1:$A$13,MATCH((AS220+AT220),[1]Sheet1!$B$1:$B$13)),0)</f>
        <v>0</v>
      </c>
      <c r="BC220" s="1" t="str">
        <f t="shared" si="127"/>
        <v/>
      </c>
    </row>
    <row r="221" spans="1:55" ht="18" customHeight="1" thickBot="1" x14ac:dyDescent="0.25">
      <c r="K221" s="2"/>
      <c r="L221" s="2"/>
      <c r="M221" s="2"/>
      <c r="Q221" s="2"/>
      <c r="R221" s="2"/>
      <c r="S221" s="2"/>
      <c r="W221" s="2"/>
      <c r="X221" s="2"/>
      <c r="Y221" s="2"/>
      <c r="AC221" s="2"/>
      <c r="AD221" s="2"/>
      <c r="AE221" s="2"/>
      <c r="AI221" s="2"/>
      <c r="AJ221" s="2"/>
      <c r="AK221" s="2"/>
      <c r="AO221" s="2"/>
      <c r="AP221" s="2"/>
      <c r="AQ221" s="2"/>
      <c r="AU221" s="2"/>
      <c r="AV221" s="2"/>
      <c r="AW221" s="2"/>
    </row>
    <row r="222" spans="1:55" ht="18" customHeight="1" x14ac:dyDescent="0.25">
      <c r="I222" s="23"/>
      <c r="J222" s="89"/>
      <c r="K222" s="24" t="s">
        <v>7</v>
      </c>
      <c r="L222" s="25" t="s">
        <v>9</v>
      </c>
      <c r="M222" s="10" t="s">
        <v>24</v>
      </c>
      <c r="O222" s="23"/>
      <c r="P222" s="89"/>
      <c r="Q222" s="24" t="s">
        <v>7</v>
      </c>
      <c r="R222" s="25" t="s">
        <v>9</v>
      </c>
      <c r="S222" s="10" t="s">
        <v>24</v>
      </c>
      <c r="U222" s="23"/>
      <c r="V222" s="89"/>
      <c r="W222" s="24" t="s">
        <v>7</v>
      </c>
      <c r="X222" s="25" t="s">
        <v>9</v>
      </c>
      <c r="Y222" s="10" t="s">
        <v>24</v>
      </c>
      <c r="AA222" s="23"/>
      <c r="AB222" s="89"/>
      <c r="AC222" s="24" t="s">
        <v>7</v>
      </c>
      <c r="AD222" s="25" t="s">
        <v>9</v>
      </c>
      <c r="AE222" s="10" t="s">
        <v>24</v>
      </c>
      <c r="AG222" s="23"/>
      <c r="AH222" s="89"/>
      <c r="AI222" s="24" t="s">
        <v>7</v>
      </c>
      <c r="AJ222" s="25" t="s">
        <v>9</v>
      </c>
      <c r="AK222" s="10" t="s">
        <v>24</v>
      </c>
      <c r="AM222" s="23"/>
      <c r="AN222" s="89"/>
      <c r="AO222" s="24" t="s">
        <v>7</v>
      </c>
      <c r="AP222" s="25" t="s">
        <v>9</v>
      </c>
      <c r="AQ222" s="10" t="s">
        <v>24</v>
      </c>
      <c r="AS222" s="23"/>
      <c r="AT222" s="89"/>
      <c r="AU222" s="24" t="s">
        <v>7</v>
      </c>
      <c r="AV222" s="25" t="s">
        <v>9</v>
      </c>
      <c r="AW222" s="10" t="s">
        <v>24</v>
      </c>
    </row>
    <row r="223" spans="1:55" ht="18" customHeight="1" x14ac:dyDescent="0.25">
      <c r="D223" s="11"/>
      <c r="E223" s="11"/>
      <c r="I223" s="26" t="str">
        <f>CONCATENATE("EA ",H23)</f>
        <v>EA 10</v>
      </c>
      <c r="J223" s="90"/>
      <c r="K223" s="12">
        <f>SUM(K24:K221)</f>
        <v>0</v>
      </c>
      <c r="L223" s="27">
        <f>SUM(L24:L221)</f>
        <v>0</v>
      </c>
      <c r="M223" s="22">
        <f>L223+M227/H23</f>
        <v>0</v>
      </c>
      <c r="O223" s="26" t="str">
        <f>CONCATENATE("EA ",N23)</f>
        <v>EA 25</v>
      </c>
      <c r="P223" s="90"/>
      <c r="Q223" s="12">
        <f>SUM(Q24:Q221)</f>
        <v>0</v>
      </c>
      <c r="R223" s="27">
        <f>SUM(R24:R221)</f>
        <v>0</v>
      </c>
      <c r="S223" s="22">
        <f>R223+S227/N23</f>
        <v>0</v>
      </c>
      <c r="U223" s="26" t="str">
        <f>CONCATENATE("EA ",T23)</f>
        <v>EA 100</v>
      </c>
      <c r="V223" s="90"/>
      <c r="W223" s="12">
        <f>SUM(W24:W221)</f>
        <v>0</v>
      </c>
      <c r="X223" s="27">
        <f>SUM(X24:X221)</f>
        <v>0</v>
      </c>
      <c r="Y223" s="22">
        <f>X223+Y227/T23</f>
        <v>0</v>
      </c>
      <c r="AA223" s="26" t="str">
        <f>CONCATENATE("EA ",Z23)</f>
        <v>EA 1000</v>
      </c>
      <c r="AB223" s="90"/>
      <c r="AC223" s="12">
        <f>SUM(AC24:AC221)</f>
        <v>0</v>
      </c>
      <c r="AD223" s="27">
        <f>SUM(AD24:AD221)</f>
        <v>0</v>
      </c>
      <c r="AE223" s="22">
        <f>AD223+AE227/Z23</f>
        <v>0</v>
      </c>
      <c r="AG223" s="26" t="str">
        <f>CONCATENATE("EA ",AF23)</f>
        <v>EA 2500</v>
      </c>
      <c r="AH223" s="90"/>
      <c r="AI223" s="12">
        <f>SUM(AI24:AI221)</f>
        <v>0</v>
      </c>
      <c r="AJ223" s="27">
        <f>SUM(AJ24:AJ221)</f>
        <v>0</v>
      </c>
      <c r="AK223" s="22">
        <f>AJ223+AK227/AF23</f>
        <v>0</v>
      </c>
      <c r="AM223" s="26" t="str">
        <f>CONCATENATE("EA ",AL23)</f>
        <v>EA 5000</v>
      </c>
      <c r="AN223" s="90"/>
      <c r="AO223" s="12">
        <f>SUM(AO24:AO221)</f>
        <v>0</v>
      </c>
      <c r="AP223" s="27">
        <f>SUM(AP24:AP221)</f>
        <v>0</v>
      </c>
      <c r="AQ223" s="22">
        <f>AP223+AQ227/AL23</f>
        <v>0</v>
      </c>
      <c r="AS223" s="26" t="str">
        <f>CONCATENATE("EA ",AR23)</f>
        <v>EA 10000</v>
      </c>
      <c r="AT223" s="90"/>
      <c r="AU223" s="12">
        <f>SUM(AU24:AU221)</f>
        <v>0</v>
      </c>
      <c r="AV223" s="27">
        <f>SUM(AV24:AV221)</f>
        <v>0</v>
      </c>
      <c r="AW223" s="22">
        <f>AV223+AW227/AR23</f>
        <v>0</v>
      </c>
    </row>
    <row r="224" spans="1:55" ht="18" customHeight="1" thickBot="1" x14ac:dyDescent="0.3">
      <c r="D224" s="11"/>
      <c r="E224" s="11"/>
      <c r="I224" s="28" t="str">
        <f>CONCATENATE("EA ",H23,"+")</f>
        <v>EA 10+</v>
      </c>
      <c r="J224" s="91"/>
      <c r="K224" s="29">
        <f>IF(H23&lt;25,1.1,IF(H23&lt;50,1.08,IF(H23&lt;100,1.06,IF(H23&lt;250,1.05,IF(H23&lt;500,1.04,IF(H23&lt;1000,1.03,IF(H23&lt;2500,1.03,IF(H23&lt;5000,1.02,IF(H23&lt;10000,1.015,1.01)))))))))</f>
        <v>1.1000000000000001</v>
      </c>
      <c r="L224" s="30">
        <f>L223*K224</f>
        <v>0</v>
      </c>
      <c r="M224" s="31" t="e">
        <f>1-K223/M223</f>
        <v>#DIV/0!</v>
      </c>
      <c r="O224" s="28" t="str">
        <f>CONCATENATE("EA ",N23,"+")</f>
        <v>EA 25+</v>
      </c>
      <c r="P224" s="91"/>
      <c r="Q224" s="29">
        <f>IF(N23&lt;25,1.1,IF(N23&lt;50,1.08,IF(N23&lt;100,1.06,IF(N23&lt;250,1.05,IF(N23&lt;500,1.04,IF(N23&lt;1000,1.03,IF(N23&lt;2500,1.03,IF(N23&lt;5000,1.02,IF(N23&lt;10000,1.015,1.01)))))))))</f>
        <v>1.08</v>
      </c>
      <c r="R224" s="30">
        <f>R223*Q224</f>
        <v>0</v>
      </c>
      <c r="S224" s="31" t="e">
        <f>1-Q223/S223</f>
        <v>#DIV/0!</v>
      </c>
      <c r="U224" s="28" t="str">
        <f>CONCATENATE("EA ",T23,"+")</f>
        <v>EA 100+</v>
      </c>
      <c r="V224" s="91"/>
      <c r="W224" s="29">
        <f>IF(T23&lt;25,1.1,IF(T23&lt;50,1.08,IF(T23&lt;100,1.06,IF(T23&lt;250,1.05,IF(T23&lt;500,1.04,IF(T23&lt;1000,1.03,IF(T23&lt;2500,1.03,IF(T23&lt;5000,1.02,IF(T23&lt;10000,1.015,1.01)))))))))</f>
        <v>1.05</v>
      </c>
      <c r="X224" s="30">
        <f>X223*W224</f>
        <v>0</v>
      </c>
      <c r="Y224" s="31" t="e">
        <f>1-W223/Y223</f>
        <v>#DIV/0!</v>
      </c>
      <c r="AA224" s="28" t="str">
        <f>CONCATENATE("EA ",Z23,"+")</f>
        <v>EA 1000+</v>
      </c>
      <c r="AB224" s="91"/>
      <c r="AC224" s="29">
        <f>IF(Z23&lt;25,1.1,IF(Z23&lt;50,1.08,IF(Z23&lt;100,1.06,IF(Z23&lt;250,1.05,IF(Z23&lt;500,1.04,IF(Z23&lt;1000,1.03,IF(Z23&lt;2500,1.03,IF(Z23&lt;5000,1.02,IF(Z23&lt;10000,1.015,1.01)))))))))</f>
        <v>1.03</v>
      </c>
      <c r="AD224" s="30">
        <f>AD223*AC224</f>
        <v>0</v>
      </c>
      <c r="AE224" s="31" t="e">
        <f>1-AC223/AE223</f>
        <v>#DIV/0!</v>
      </c>
      <c r="AG224" s="28" t="str">
        <f>CONCATENATE("EA ",AF23,"+")</f>
        <v>EA 2500+</v>
      </c>
      <c r="AH224" s="91"/>
      <c r="AI224" s="29">
        <f>IF(AF23&lt;25,1.1,IF(AF23&lt;50,1.08,IF(AF23&lt;100,1.06,IF(AF23&lt;250,1.05,IF(AF23&lt;500,1.04,IF(AF23&lt;1000,1.03,IF(AF23&lt;2500,1.03,IF(AF23&lt;5000,1.02,IF(AF23&lt;10000,1.015,1.01)))))))))</f>
        <v>1.02</v>
      </c>
      <c r="AJ224" s="30">
        <f>AJ223*AI224</f>
        <v>0</v>
      </c>
      <c r="AK224" s="31" t="e">
        <f>1-AI223/AK223</f>
        <v>#DIV/0!</v>
      </c>
      <c r="AM224" s="28" t="str">
        <f>CONCATENATE("EA ",AL23,"+")</f>
        <v>EA 5000+</v>
      </c>
      <c r="AN224" s="91"/>
      <c r="AO224" s="29">
        <f>IF(AL23&lt;25,1.1,IF(AL23&lt;50,1.08,IF(AL23&lt;100,1.06,IF(AL23&lt;250,1.05,IF(AL23&lt;500,1.04,IF(AL23&lt;1000,1.03,IF(AL23&lt;2500,1.03,IF(AL23&lt;5000,1.02,IF(AL23&lt;10000,1.015,1.01)))))))))</f>
        <v>1.0149999999999999</v>
      </c>
      <c r="AP224" s="30">
        <f>AP223*AO224</f>
        <v>0</v>
      </c>
      <c r="AQ224" s="31" t="e">
        <f>1-AO223/AQ223</f>
        <v>#DIV/0!</v>
      </c>
      <c r="AS224" s="28" t="str">
        <f>CONCATENATE("EA ",AR23,"+")</f>
        <v>EA 10000+</v>
      </c>
      <c r="AT224" s="91"/>
      <c r="AU224" s="29">
        <f>IF(AR23&lt;25,1.1,IF(AR23&lt;50,1.08,IF(AR23&lt;100,1.06,IF(AR23&lt;250,1.05,IF(AR23&lt;500,1.04,IF(AR23&lt;1000,1.03,IF(AR23&lt;2500,1.03,IF(AR23&lt;5000,1.02,IF(AR23&lt;10000,1.015,1.01)))))))))</f>
        <v>1.01</v>
      </c>
      <c r="AV224" s="30">
        <f>AV223*AU224</f>
        <v>0</v>
      </c>
      <c r="AW224" s="31" t="e">
        <f>1-AU223/AW223</f>
        <v>#DIV/0!</v>
      </c>
    </row>
    <row r="225" spans="4:49" ht="18" customHeight="1" x14ac:dyDescent="0.2">
      <c r="D225" s="11"/>
      <c r="E225" s="11"/>
      <c r="K225" s="11" t="s">
        <v>17</v>
      </c>
      <c r="Q225" s="11"/>
      <c r="W225" s="11"/>
      <c r="AC225" s="11"/>
      <c r="AI225" s="11"/>
      <c r="AO225" s="11"/>
      <c r="AU225" s="11"/>
    </row>
    <row r="227" spans="4:49" ht="18" customHeight="1" x14ac:dyDescent="0.25">
      <c r="L227" s="21" t="s">
        <v>25</v>
      </c>
      <c r="M227" s="2">
        <f>SUM(M24:M220)</f>
        <v>0</v>
      </c>
      <c r="R227" s="21" t="s">
        <v>25</v>
      </c>
      <c r="S227" s="2">
        <f>SUM(S24:S220)</f>
        <v>0</v>
      </c>
      <c r="X227" s="21" t="s">
        <v>25</v>
      </c>
      <c r="Y227" s="2">
        <f>SUM(Y24:Y220)</f>
        <v>0</v>
      </c>
      <c r="AD227" s="21" t="s">
        <v>25</v>
      </c>
      <c r="AE227" s="2">
        <f>SUM(AE24:AE220)</f>
        <v>0</v>
      </c>
      <c r="AJ227" s="21" t="s">
        <v>25</v>
      </c>
      <c r="AK227" s="2">
        <f>SUM(AK24:AK220)</f>
        <v>0</v>
      </c>
      <c r="AP227" s="21" t="s">
        <v>25</v>
      </c>
      <c r="AQ227" s="2">
        <f>SUM(AQ24:AQ220)</f>
        <v>0</v>
      </c>
      <c r="AV227" s="21" t="s">
        <v>25</v>
      </c>
      <c r="AW227" s="2">
        <f>SUM(AW24:AW220)</f>
        <v>0</v>
      </c>
    </row>
  </sheetData>
  <mergeCells count="1">
    <mergeCell ref="C6:D6"/>
  </mergeCells>
  <pageMargins left="0.25" right="0.25" top="0.75" bottom="0.75" header="0.3" footer="0.3"/>
  <pageSetup scale="2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066E-767B-404F-AB38-B8B118D632CD}">
  <dimension ref="A1"/>
  <sheetViews>
    <sheetView workbookViewId="0">
      <selection activeCell="L31" sqref="L3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1C17-8BFD-4246-AB38-CD3A2BAC2DCB}">
  <dimension ref="J1:R28"/>
  <sheetViews>
    <sheetView zoomScale="85" zoomScaleNormal="85" workbookViewId="0">
      <selection activeCell="N5" sqref="N5"/>
    </sheetView>
  </sheetViews>
  <sheetFormatPr defaultRowHeight="15" x14ac:dyDescent="0.25"/>
  <cols>
    <col min="10" max="10" width="14.7109375" customWidth="1"/>
    <col min="11" max="11" width="16.42578125" customWidth="1"/>
    <col min="12" max="12" width="17.140625" customWidth="1"/>
    <col min="13" max="13" width="21.5703125" customWidth="1"/>
    <col min="14" max="15" width="23.5703125" customWidth="1"/>
    <col min="16" max="16" width="22.5703125" customWidth="1"/>
    <col min="17" max="17" width="12.28515625" customWidth="1"/>
    <col min="18" max="18" width="12.42578125" customWidth="1"/>
  </cols>
  <sheetData>
    <row r="1" spans="10:18" ht="28.5" x14ac:dyDescent="0.45">
      <c r="M1" s="59" t="s">
        <v>42</v>
      </c>
    </row>
    <row r="2" spans="10:18" ht="15.75" thickBot="1" x14ac:dyDescent="0.3"/>
    <row r="3" spans="10:18" ht="46.5" customHeight="1" x14ac:dyDescent="0.25">
      <c r="K3" s="94" t="s">
        <v>41</v>
      </c>
      <c r="L3" s="94" t="s">
        <v>40</v>
      </c>
      <c r="M3" s="58" t="s">
        <v>39</v>
      </c>
      <c r="N3" s="58" t="s">
        <v>38</v>
      </c>
      <c r="O3" s="58" t="s">
        <v>37</v>
      </c>
      <c r="P3" s="58" t="s">
        <v>36</v>
      </c>
      <c r="Q3" s="58" t="s">
        <v>36</v>
      </c>
    </row>
    <row r="4" spans="10:18" ht="47.25" thickBot="1" x14ac:dyDescent="0.3">
      <c r="K4" s="95"/>
      <c r="L4" s="95"/>
      <c r="M4" s="67" t="s">
        <v>55</v>
      </c>
      <c r="N4" s="67" t="s">
        <v>81</v>
      </c>
      <c r="O4" s="67" t="s">
        <v>54</v>
      </c>
      <c r="P4" s="67" t="s">
        <v>35</v>
      </c>
      <c r="Q4" s="67" t="s">
        <v>34</v>
      </c>
    </row>
    <row r="5" spans="10:18" ht="24" thickBot="1" x14ac:dyDescent="0.3">
      <c r="K5" s="69"/>
      <c r="L5" s="69"/>
      <c r="M5" s="69">
        <v>0.1</v>
      </c>
      <c r="N5" s="69">
        <v>0.2</v>
      </c>
      <c r="O5" s="69">
        <v>2</v>
      </c>
      <c r="P5" s="69">
        <f>K5*L5*M5*N5*O5</f>
        <v>0</v>
      </c>
      <c r="Q5" s="69">
        <f>P5/1.805</f>
        <v>0</v>
      </c>
    </row>
    <row r="7" spans="10:18" ht="29.25" thickBot="1" x14ac:dyDescent="0.5">
      <c r="L7" s="59"/>
      <c r="M7" s="59" t="s">
        <v>46</v>
      </c>
    </row>
    <row r="8" spans="10:18" ht="47.25" thickBot="1" x14ac:dyDescent="0.3">
      <c r="J8" s="60" t="s">
        <v>43</v>
      </c>
      <c r="K8" s="60" t="s">
        <v>51</v>
      </c>
      <c r="L8" s="60" t="s">
        <v>52</v>
      </c>
      <c r="M8" s="60" t="s">
        <v>48</v>
      </c>
      <c r="N8" s="61" t="s">
        <v>49</v>
      </c>
      <c r="O8" s="61" t="s">
        <v>38</v>
      </c>
      <c r="P8" s="60" t="s">
        <v>44</v>
      </c>
      <c r="Q8" s="60" t="s">
        <v>36</v>
      </c>
      <c r="R8" s="60" t="s">
        <v>36</v>
      </c>
    </row>
    <row r="9" spans="10:18" ht="47.25" thickBot="1" x14ac:dyDescent="0.3">
      <c r="J9" s="96"/>
      <c r="K9" s="60" t="s">
        <v>45</v>
      </c>
      <c r="L9" s="60" t="s">
        <v>45</v>
      </c>
      <c r="M9" s="60" t="s">
        <v>45</v>
      </c>
      <c r="N9" s="60" t="s">
        <v>50</v>
      </c>
      <c r="O9" s="67" t="s">
        <v>53</v>
      </c>
      <c r="P9" s="62"/>
      <c r="Q9" s="63" t="s">
        <v>35</v>
      </c>
      <c r="R9" s="63" t="s">
        <v>34</v>
      </c>
    </row>
    <row r="10" spans="10:18" ht="24" thickBot="1" x14ac:dyDescent="0.3">
      <c r="J10" s="97"/>
      <c r="K10" s="64"/>
      <c r="L10" s="64"/>
      <c r="M10" s="64"/>
      <c r="N10" s="65"/>
      <c r="O10" s="65"/>
      <c r="P10" s="64"/>
      <c r="Q10" s="66"/>
      <c r="R10" s="66"/>
    </row>
    <row r="11" spans="10:18" ht="24" thickBot="1" x14ac:dyDescent="0.3">
      <c r="J11" s="65"/>
      <c r="K11" s="65"/>
      <c r="L11" s="65"/>
      <c r="M11" s="65">
        <f>2*(K11+L11)</f>
        <v>0</v>
      </c>
      <c r="N11" s="65">
        <v>0.11</v>
      </c>
      <c r="O11" s="65">
        <v>1.2</v>
      </c>
      <c r="P11" s="64"/>
      <c r="Q11" s="66">
        <f>M11*N11*O11*P11</f>
        <v>0</v>
      </c>
      <c r="R11" s="66">
        <f>Q11/1.805</f>
        <v>0</v>
      </c>
    </row>
    <row r="13" spans="10:18" ht="29.25" thickBot="1" x14ac:dyDescent="0.5">
      <c r="L13" s="59"/>
      <c r="M13" s="59" t="s">
        <v>47</v>
      </c>
      <c r="N13" s="59"/>
    </row>
    <row r="14" spans="10:18" ht="47.25" thickBot="1" x14ac:dyDescent="0.3">
      <c r="J14" s="60" t="s">
        <v>43</v>
      </c>
      <c r="K14" s="60" t="s">
        <v>51</v>
      </c>
      <c r="L14" s="60" t="s">
        <v>52</v>
      </c>
      <c r="M14" s="60" t="s">
        <v>48</v>
      </c>
      <c r="N14" s="61" t="s">
        <v>49</v>
      </c>
      <c r="O14" s="61" t="s">
        <v>38</v>
      </c>
      <c r="P14" s="60" t="s">
        <v>44</v>
      </c>
      <c r="Q14" s="60" t="s">
        <v>36</v>
      </c>
      <c r="R14" s="60" t="s">
        <v>36</v>
      </c>
    </row>
    <row r="15" spans="10:18" ht="47.25" thickBot="1" x14ac:dyDescent="0.3">
      <c r="J15" s="96"/>
      <c r="K15" s="60" t="s">
        <v>45</v>
      </c>
      <c r="L15" s="60" t="s">
        <v>45</v>
      </c>
      <c r="M15" s="60" t="s">
        <v>45</v>
      </c>
      <c r="N15" s="60" t="s">
        <v>50</v>
      </c>
      <c r="O15" s="67" t="s">
        <v>53</v>
      </c>
      <c r="P15" s="62"/>
      <c r="Q15" s="63" t="s">
        <v>35</v>
      </c>
      <c r="R15" s="63" t="s">
        <v>34</v>
      </c>
    </row>
    <row r="16" spans="10:18" ht="24" thickBot="1" x14ac:dyDescent="0.3">
      <c r="J16" s="97"/>
      <c r="K16" s="64"/>
      <c r="L16" s="64"/>
      <c r="M16" s="64"/>
      <c r="N16" s="65"/>
      <c r="O16" s="65"/>
      <c r="P16" s="64"/>
      <c r="Q16" s="66"/>
      <c r="R16" s="66"/>
    </row>
    <row r="17" spans="10:18" ht="24" thickBot="1" x14ac:dyDescent="0.3">
      <c r="J17" s="65"/>
      <c r="K17" s="65"/>
      <c r="L17" s="65"/>
      <c r="M17" s="65">
        <f>2*(K17+L17)</f>
        <v>0</v>
      </c>
      <c r="N17" s="65">
        <v>0.11</v>
      </c>
      <c r="O17" s="65">
        <v>0.2</v>
      </c>
      <c r="P17" s="65"/>
      <c r="Q17" s="65">
        <f>M17*N17*O17*P17</f>
        <v>0</v>
      </c>
      <c r="R17" s="65">
        <f>Q17/1.805</f>
        <v>0</v>
      </c>
    </row>
    <row r="19" spans="10:18" ht="28.5" x14ac:dyDescent="0.45">
      <c r="M19" s="59" t="s">
        <v>56</v>
      </c>
    </row>
    <row r="20" spans="10:18" ht="15.75" thickBot="1" x14ac:dyDescent="0.3"/>
    <row r="21" spans="10:18" ht="46.5" x14ac:dyDescent="0.25">
      <c r="K21" s="94" t="s">
        <v>41</v>
      </c>
      <c r="L21" s="94" t="s">
        <v>40</v>
      </c>
      <c r="M21" s="68" t="s">
        <v>39</v>
      </c>
      <c r="N21" s="68" t="s">
        <v>38</v>
      </c>
      <c r="O21" s="68" t="s">
        <v>36</v>
      </c>
      <c r="P21" s="68" t="s">
        <v>36</v>
      </c>
    </row>
    <row r="22" spans="10:18" ht="47.25" thickBot="1" x14ac:dyDescent="0.3">
      <c r="K22" s="95"/>
      <c r="L22" s="95"/>
      <c r="M22" s="67" t="s">
        <v>57</v>
      </c>
      <c r="N22" s="67" t="s">
        <v>53</v>
      </c>
      <c r="O22" s="67" t="s">
        <v>35</v>
      </c>
      <c r="P22" s="67" t="s">
        <v>34</v>
      </c>
    </row>
    <row r="23" spans="10:18" ht="24" thickBot="1" x14ac:dyDescent="0.3">
      <c r="K23" s="69"/>
      <c r="L23" s="69"/>
      <c r="M23" s="69">
        <v>0.1</v>
      </c>
      <c r="N23" s="69">
        <v>0.25</v>
      </c>
      <c r="O23" s="69">
        <f>K23*L23*M23*N23</f>
        <v>0</v>
      </c>
      <c r="P23" s="69">
        <f>O23/1.805</f>
        <v>0</v>
      </c>
    </row>
    <row r="25" spans="10:18" ht="28.5" x14ac:dyDescent="0.45">
      <c r="K25" s="70"/>
      <c r="M25" s="59" t="s">
        <v>58</v>
      </c>
      <c r="N25" s="70"/>
      <c r="O25" s="70"/>
    </row>
    <row r="26" spans="10:18" ht="23.25" x14ac:dyDescent="0.35">
      <c r="K26" s="70"/>
      <c r="L26" s="70"/>
      <c r="M26" s="70"/>
      <c r="N26" s="70"/>
      <c r="O26" s="70"/>
    </row>
    <row r="27" spans="10:18" ht="116.25" x14ac:dyDescent="0.25">
      <c r="K27" s="71" t="s">
        <v>59</v>
      </c>
      <c r="L27" s="71" t="s">
        <v>60</v>
      </c>
      <c r="M27" s="71" t="s">
        <v>61</v>
      </c>
      <c r="N27" s="71" t="s">
        <v>62</v>
      </c>
      <c r="O27" s="71" t="s">
        <v>63</v>
      </c>
    </row>
    <row r="28" spans="10:18" ht="23.25" x14ac:dyDescent="0.25">
      <c r="K28" s="72"/>
      <c r="L28" s="72"/>
      <c r="M28" s="72">
        <v>1.2</v>
      </c>
      <c r="N28" s="72">
        <f>K28*L28*M28</f>
        <v>0</v>
      </c>
      <c r="O28" s="72">
        <f>N28/1.805</f>
        <v>0</v>
      </c>
    </row>
  </sheetData>
  <mergeCells count="6">
    <mergeCell ref="L3:L4"/>
    <mergeCell ref="J9:J10"/>
    <mergeCell ref="J15:J16"/>
    <mergeCell ref="K3:K4"/>
    <mergeCell ref="K21:K22"/>
    <mergeCell ref="L21:L22"/>
  </mergeCells>
  <phoneticPr fontId="8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1:P7"/>
  <sheetViews>
    <sheetView workbookViewId="0">
      <selection activeCell="J1" sqref="J1"/>
    </sheetView>
  </sheetViews>
  <sheetFormatPr defaultRowHeight="15" x14ac:dyDescent="0.25"/>
  <cols>
    <col min="8" max="8" width="17.5703125" customWidth="1"/>
    <col min="9" max="9" width="18.28515625" customWidth="1"/>
    <col min="10" max="10" width="13.7109375" customWidth="1"/>
    <col min="11" max="11" width="13.140625" customWidth="1"/>
    <col min="12" max="12" width="17.7109375" bestFit="1" customWidth="1"/>
    <col min="13" max="13" width="13.42578125" customWidth="1"/>
    <col min="14" max="14" width="14.5703125" customWidth="1"/>
    <col min="15" max="15" width="17.85546875" bestFit="1" customWidth="1"/>
    <col min="16" max="16" width="16.140625" customWidth="1"/>
  </cols>
  <sheetData>
    <row r="1" spans="8:16" ht="28.5" x14ac:dyDescent="0.45">
      <c r="J1" s="59" t="s">
        <v>93</v>
      </c>
      <c r="K1" s="59"/>
    </row>
    <row r="2" spans="8:16" ht="15.75" thickBot="1" x14ac:dyDescent="0.3"/>
    <row r="3" spans="8:16" ht="93.75" thickBot="1" x14ac:dyDescent="0.3">
      <c r="H3" s="60" t="s">
        <v>65</v>
      </c>
      <c r="I3" s="60" t="s">
        <v>84</v>
      </c>
      <c r="J3" s="60" t="s">
        <v>85</v>
      </c>
      <c r="K3" s="60" t="s">
        <v>86</v>
      </c>
      <c r="L3" s="60" t="s">
        <v>87</v>
      </c>
      <c r="M3" s="60" t="s">
        <v>88</v>
      </c>
      <c r="N3" s="60" t="s">
        <v>89</v>
      </c>
      <c r="O3" s="60" t="s">
        <v>90</v>
      </c>
      <c r="P3" s="60" t="s">
        <v>91</v>
      </c>
    </row>
    <row r="4" spans="8:16" ht="24" thickBot="1" x14ac:dyDescent="0.3">
      <c r="H4" s="60" t="s">
        <v>82</v>
      </c>
      <c r="I4" s="60">
        <v>9.2770499999999991</v>
      </c>
      <c r="J4" s="85">
        <v>35.86</v>
      </c>
      <c r="K4" s="88">
        <f>'Chemicals Qty'!Q5</f>
        <v>0</v>
      </c>
      <c r="L4" s="88"/>
      <c r="M4" s="86">
        <f>K4*L4</f>
        <v>0</v>
      </c>
      <c r="N4" s="86">
        <f>M4/I4</f>
        <v>0</v>
      </c>
      <c r="O4" s="87">
        <f>N4*J4</f>
        <v>0</v>
      </c>
      <c r="P4" s="87" t="e">
        <f>O4/L4</f>
        <v>#DIV/0!</v>
      </c>
    </row>
    <row r="6" spans="8:16" x14ac:dyDescent="0.25">
      <c r="H6" s="84" t="s">
        <v>92</v>
      </c>
    </row>
    <row r="7" spans="8:16" x14ac:dyDescent="0.25">
      <c r="H7" s="83" t="s">
        <v>83</v>
      </c>
    </row>
  </sheetData>
  <hyperlinks>
    <hyperlink ref="H7" r:id="rId1" xr:uid="{7B7B2DEA-8556-4F7D-8199-2E4DF4861ACA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A21E-CF73-4A9B-B16B-9E35C8200472}">
  <dimension ref="A1"/>
  <sheetViews>
    <sheetView workbookViewId="0">
      <selection activeCell="F25" sqref="F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D59C-D026-49E9-88F0-798EE47A84AD}">
  <dimension ref="A1:F26"/>
  <sheetViews>
    <sheetView workbookViewId="0">
      <selection activeCell="G17" sqref="G17"/>
    </sheetView>
  </sheetViews>
  <sheetFormatPr defaultRowHeight="15" x14ac:dyDescent="0.25"/>
  <cols>
    <col min="1" max="1" width="28.28515625" customWidth="1"/>
    <col min="2" max="2" width="72.7109375" customWidth="1"/>
    <col min="3" max="3" width="11.42578125" customWidth="1"/>
    <col min="4" max="4" width="19.5703125" customWidth="1"/>
    <col min="5" max="5" width="12.42578125" bestFit="1" customWidth="1"/>
    <col min="6" max="6" width="10" bestFit="1" customWidth="1"/>
  </cols>
  <sheetData>
    <row r="1" spans="1:6" ht="15.75" thickBot="1" x14ac:dyDescent="0.3">
      <c r="D1" s="82"/>
    </row>
    <row r="2" spans="1:6" ht="20.25" thickBot="1" x14ac:dyDescent="0.35">
      <c r="A2" s="81"/>
      <c r="B2" s="80" t="s">
        <v>70</v>
      </c>
      <c r="C2" s="79"/>
      <c r="D2" s="79"/>
      <c r="E2" s="79"/>
      <c r="F2" s="79"/>
    </row>
    <row r="3" spans="1:6" ht="26.25" thickBot="1" x14ac:dyDescent="0.3">
      <c r="A3" s="78" t="s">
        <v>69</v>
      </c>
      <c r="B3" s="78" t="s">
        <v>68</v>
      </c>
      <c r="C3" s="78" t="s">
        <v>74</v>
      </c>
      <c r="D3" s="78" t="s">
        <v>67</v>
      </c>
      <c r="E3" s="78" t="s">
        <v>66</v>
      </c>
    </row>
    <row r="4" spans="1:6" x14ac:dyDescent="0.25">
      <c r="A4" s="77" t="s">
        <v>72</v>
      </c>
      <c r="B4" s="76" t="s">
        <v>73</v>
      </c>
      <c r="C4" s="75" t="s">
        <v>75</v>
      </c>
      <c r="D4" s="74" t="s">
        <v>77</v>
      </c>
      <c r="E4" s="73">
        <v>45435</v>
      </c>
    </row>
    <row r="5" spans="1:6" x14ac:dyDescent="0.25">
      <c r="A5" s="77" t="s">
        <v>71</v>
      </c>
      <c r="B5" s="76" t="s">
        <v>78</v>
      </c>
      <c r="C5" s="75" t="s">
        <v>76</v>
      </c>
      <c r="D5" s="74" t="s">
        <v>77</v>
      </c>
      <c r="E5" s="73">
        <v>45504</v>
      </c>
    </row>
    <row r="6" spans="1:6" x14ac:dyDescent="0.25">
      <c r="A6" s="77" t="s">
        <v>95</v>
      </c>
      <c r="B6" s="76" t="s">
        <v>99</v>
      </c>
      <c r="C6" s="75" t="s">
        <v>97</v>
      </c>
      <c r="D6" s="74" t="s">
        <v>96</v>
      </c>
      <c r="E6" s="73">
        <v>45866</v>
      </c>
    </row>
    <row r="7" spans="1:6" x14ac:dyDescent="0.25">
      <c r="A7" s="77" t="s">
        <v>98</v>
      </c>
      <c r="B7" s="76" t="s">
        <v>100</v>
      </c>
      <c r="C7" s="75" t="s">
        <v>101</v>
      </c>
      <c r="D7" s="74" t="s">
        <v>102</v>
      </c>
      <c r="E7" s="73">
        <v>45867</v>
      </c>
    </row>
    <row r="8" spans="1:6" x14ac:dyDescent="0.25">
      <c r="A8" s="77"/>
      <c r="B8" s="76"/>
      <c r="C8" s="75"/>
      <c r="D8" s="74"/>
      <c r="E8" s="73"/>
    </row>
    <row r="9" spans="1:6" x14ac:dyDescent="0.25">
      <c r="A9" s="77"/>
      <c r="B9" s="76"/>
      <c r="C9" s="75"/>
      <c r="D9" s="74"/>
      <c r="E9" s="73"/>
    </row>
    <row r="10" spans="1:6" x14ac:dyDescent="0.25">
      <c r="A10" s="77"/>
      <c r="B10" s="76"/>
      <c r="C10" s="75"/>
      <c r="D10" s="74"/>
      <c r="E10" s="73"/>
    </row>
    <row r="11" spans="1:6" x14ac:dyDescent="0.25">
      <c r="A11" s="77"/>
      <c r="B11" s="76"/>
      <c r="C11" s="75"/>
      <c r="D11" s="74"/>
      <c r="E11" s="73"/>
    </row>
    <row r="12" spans="1:6" x14ac:dyDescent="0.25">
      <c r="A12" s="77"/>
      <c r="B12" s="76"/>
      <c r="C12" s="75"/>
      <c r="D12" s="74"/>
      <c r="E12" s="73"/>
    </row>
    <row r="13" spans="1:6" x14ac:dyDescent="0.25">
      <c r="A13" s="77"/>
      <c r="B13" s="76"/>
      <c r="C13" s="75"/>
      <c r="D13" s="74"/>
      <c r="E13" s="73"/>
    </row>
    <row r="14" spans="1:6" x14ac:dyDescent="0.25">
      <c r="A14" s="77"/>
      <c r="B14" s="76"/>
      <c r="C14" s="75"/>
      <c r="D14" s="74"/>
      <c r="E14" s="73"/>
    </row>
    <row r="15" spans="1:6" x14ac:dyDescent="0.25">
      <c r="A15" s="77"/>
      <c r="B15" s="76"/>
      <c r="C15" s="75"/>
      <c r="D15" s="74"/>
      <c r="E15" s="73"/>
    </row>
    <row r="16" spans="1:6" x14ac:dyDescent="0.25">
      <c r="A16" s="77"/>
      <c r="B16" s="76"/>
      <c r="C16" s="75"/>
      <c r="D16" s="74"/>
      <c r="E16" s="73"/>
    </row>
    <row r="17" spans="1:5" x14ac:dyDescent="0.25">
      <c r="A17" s="77"/>
      <c r="B17" s="76"/>
      <c r="C17" s="75"/>
      <c r="D17" s="74"/>
      <c r="E17" s="73"/>
    </row>
    <row r="18" spans="1:5" x14ac:dyDescent="0.25">
      <c r="A18" s="77"/>
      <c r="B18" s="76"/>
      <c r="C18" s="75"/>
      <c r="D18" s="74"/>
      <c r="E18" s="73"/>
    </row>
    <row r="19" spans="1:5" x14ac:dyDescent="0.25">
      <c r="A19" s="77"/>
      <c r="B19" s="76"/>
      <c r="C19" s="75"/>
      <c r="D19" s="74"/>
      <c r="E19" s="73"/>
    </row>
    <row r="20" spans="1:5" x14ac:dyDescent="0.25">
      <c r="A20" s="77"/>
      <c r="B20" s="76"/>
      <c r="C20" s="75"/>
      <c r="D20" s="74"/>
      <c r="E20" s="73"/>
    </row>
    <row r="21" spans="1:5" x14ac:dyDescent="0.25">
      <c r="A21" s="77"/>
      <c r="B21" s="76"/>
      <c r="C21" s="75"/>
      <c r="D21" s="74"/>
      <c r="E21" s="73"/>
    </row>
    <row r="22" spans="1:5" x14ac:dyDescent="0.25">
      <c r="A22" s="77"/>
      <c r="B22" s="76"/>
      <c r="C22" s="75"/>
      <c r="D22" s="74"/>
      <c r="E22" s="73"/>
    </row>
    <row r="23" spans="1:5" x14ac:dyDescent="0.25">
      <c r="A23" s="77"/>
      <c r="B23" s="76"/>
      <c r="C23" s="75"/>
      <c r="D23" s="74"/>
      <c r="E23" s="73"/>
    </row>
    <row r="24" spans="1:5" x14ac:dyDescent="0.25">
      <c r="A24" s="77"/>
      <c r="B24" s="76"/>
      <c r="C24" s="75"/>
      <c r="D24" s="74"/>
      <c r="E24" s="73"/>
    </row>
    <row r="25" spans="1:5" x14ac:dyDescent="0.25">
      <c r="A25" s="77"/>
      <c r="B25" s="76"/>
      <c r="C25" s="75"/>
      <c r="D25" s="74"/>
      <c r="E25" s="73"/>
    </row>
    <row r="26" spans="1:5" x14ac:dyDescent="0.25">
      <c r="A26" s="77"/>
      <c r="B26" s="76"/>
      <c r="C26" s="75"/>
      <c r="D26" s="74"/>
      <c r="E26" s="73"/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</vt:lpstr>
      <vt:lpstr>Tariff</vt:lpstr>
      <vt:lpstr>Chemicals Qty</vt:lpstr>
      <vt:lpstr>Chemicals pricing</vt:lpstr>
      <vt:lpstr>Fine Pitch, QFP, QFN, or BGA  </vt:lpstr>
      <vt:lpstr>Rev 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Catherine Arnold</cp:lastModifiedBy>
  <cp:lastPrinted>2015-06-09T16:50:53Z</cp:lastPrinted>
  <dcterms:created xsi:type="dcterms:W3CDTF">2014-02-28T14:28:37Z</dcterms:created>
  <dcterms:modified xsi:type="dcterms:W3CDTF">2025-08-25T14:13:37Z</dcterms:modified>
</cp:coreProperties>
</file>